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y\Desktop\"/>
    </mc:Choice>
  </mc:AlternateContent>
  <bookViews>
    <workbookView xWindow="0" yWindow="0" windowWidth="23040" windowHeight="91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G5" i="1" s="1"/>
  <c r="G4" i="1" l="1"/>
  <c r="G6" i="1"/>
  <c r="H5" i="1"/>
  <c r="H6" i="1" l="1"/>
  <c r="I5" i="1"/>
  <c r="I6" i="1" l="1"/>
  <c r="J5" i="1"/>
  <c r="J6" i="1" l="1"/>
  <c r="K5" i="1"/>
  <c r="L5" i="1" l="1"/>
  <c r="K6" i="1"/>
  <c r="L6" i="1" l="1"/>
  <c r="M5" i="1"/>
  <c r="M6" i="1" l="1"/>
  <c r="N5" i="1"/>
  <c r="N4" i="1" l="1"/>
  <c r="N6" i="1"/>
  <c r="O5" i="1"/>
  <c r="O6" i="1" l="1"/>
  <c r="P5" i="1"/>
  <c r="P6" i="1" l="1"/>
  <c r="Q5" i="1"/>
  <c r="R5" i="1" l="1"/>
  <c r="Q6" i="1"/>
  <c r="R6" i="1" l="1"/>
  <c r="S5" i="1"/>
  <c r="S6" i="1" l="1"/>
  <c r="T5" i="1"/>
  <c r="U5" i="1" l="1"/>
  <c r="T6" i="1"/>
  <c r="U6" i="1" l="1"/>
  <c r="U4" i="1"/>
  <c r="V5" i="1"/>
  <c r="V6" i="1" l="1"/>
  <c r="W5" i="1"/>
  <c r="X5" i="1" l="1"/>
  <c r="W6" i="1"/>
  <c r="Y5" i="1" l="1"/>
  <c r="X6" i="1"/>
  <c r="Y6" i="1" l="1"/>
  <c r="Z5" i="1"/>
  <c r="Z6" i="1" l="1"/>
  <c r="AA5" i="1"/>
  <c r="AA6" i="1" l="1"/>
  <c r="AB5" i="1"/>
  <c r="AB6" i="1" l="1"/>
  <c r="AB4" i="1"/>
  <c r="AC5" i="1"/>
  <c r="AD5" i="1" l="1"/>
  <c r="AC6" i="1"/>
  <c r="AE5" i="1" l="1"/>
  <c r="AD6" i="1"/>
  <c r="AF5" i="1" l="1"/>
  <c r="AE6" i="1"/>
  <c r="AG5" i="1" l="1"/>
  <c r="AF6" i="1"/>
  <c r="AH5" i="1" l="1"/>
  <c r="AG6" i="1"/>
  <c r="AH6" i="1" l="1"/>
  <c r="AI5" i="1"/>
  <c r="AI4" i="1" l="1"/>
  <c r="AI6" i="1"/>
  <c r="AJ5" i="1"/>
  <c r="AJ6" i="1" l="1"/>
  <c r="AK5" i="1"/>
  <c r="AL5" i="1" l="1"/>
  <c r="AK6" i="1"/>
  <c r="AL6" i="1" l="1"/>
  <c r="AM5" i="1"/>
  <c r="AM6" i="1" l="1"/>
  <c r="AN5" i="1"/>
  <c r="AN6" i="1" l="1"/>
  <c r="AO5" i="1"/>
  <c r="AP5" i="1" l="1"/>
  <c r="AO6" i="1"/>
  <c r="AQ5" i="1" l="1"/>
  <c r="AP6" i="1"/>
  <c r="AP4" i="1"/>
  <c r="AQ6" i="1" l="1"/>
  <c r="AR5" i="1"/>
  <c r="AR6" i="1" l="1"/>
  <c r="AS5" i="1"/>
  <c r="AT5" i="1" l="1"/>
  <c r="AS6" i="1"/>
  <c r="AU5" i="1" l="1"/>
  <c r="AT6" i="1"/>
  <c r="AU6" i="1" l="1"/>
  <c r="AV5" i="1"/>
  <c r="AW5" i="1" l="1"/>
  <c r="AV6" i="1"/>
  <c r="AX5" i="1" l="1"/>
  <c r="AW4" i="1"/>
  <c r="AW6" i="1"/>
  <c r="AX6" i="1" l="1"/>
  <c r="AY5" i="1"/>
  <c r="AZ5" i="1" l="1"/>
  <c r="AY6" i="1"/>
  <c r="AZ6" i="1" l="1"/>
  <c r="BA5" i="1"/>
  <c r="BB5" i="1" l="1"/>
  <c r="BA6" i="1"/>
  <c r="BB6" i="1" l="1"/>
  <c r="BC5" i="1"/>
  <c r="BC6" i="1" l="1"/>
  <c r="BD5" i="1"/>
  <c r="BE5" i="1" l="1"/>
  <c r="BD6" i="1"/>
  <c r="BD4" i="1"/>
  <c r="BE6" i="1" l="1"/>
  <c r="BF5" i="1"/>
  <c r="BF6" i="1" l="1"/>
  <c r="BG5" i="1"/>
  <c r="BH5" i="1" l="1"/>
  <c r="BG6" i="1"/>
  <c r="BI5" i="1" l="1"/>
  <c r="BH6" i="1"/>
  <c r="BJ5" i="1" l="1"/>
  <c r="BI6" i="1"/>
  <c r="BK5" i="1" l="1"/>
  <c r="BJ6" i="1"/>
  <c r="BL5" i="1" l="1"/>
  <c r="BK4" i="1"/>
  <c r="BK6" i="1"/>
  <c r="BL6" i="1" l="1"/>
  <c r="BM5" i="1"/>
  <c r="BN5" i="1" l="1"/>
  <c r="BM6" i="1"/>
  <c r="BO5" i="1" l="1"/>
  <c r="BN6" i="1"/>
  <c r="BO6" i="1" l="1"/>
  <c r="BP5" i="1"/>
  <c r="BP6" i="1" l="1"/>
  <c r="BQ5" i="1"/>
  <c r="BR5" i="1" l="1"/>
  <c r="BQ6" i="1"/>
  <c r="BS5" i="1" l="1"/>
  <c r="BR4" i="1"/>
  <c r="BR6" i="1"/>
  <c r="BT5" i="1" l="1"/>
  <c r="BS6" i="1"/>
  <c r="BT6" i="1" l="1"/>
  <c r="BU5" i="1"/>
  <c r="BU6" i="1" l="1"/>
  <c r="BV5" i="1"/>
  <c r="BV6" i="1" l="1"/>
  <c r="BW5" i="1"/>
  <c r="BW6" i="1" l="1"/>
  <c r="BX5" i="1"/>
  <c r="BX6" i="1" l="1"/>
  <c r="BY5" i="1"/>
  <c r="BY4" i="1" l="1"/>
  <c r="BZ5" i="1"/>
  <c r="BY6" i="1"/>
  <c r="BZ6" i="1" l="1"/>
  <c r="CA5" i="1"/>
  <c r="CB5" i="1" l="1"/>
  <c r="CA6" i="1"/>
  <c r="CC5" i="1" l="1"/>
  <c r="CB6" i="1"/>
  <c r="CC6" i="1" l="1"/>
  <c r="CD5" i="1"/>
  <c r="CE5" i="1" l="1"/>
  <c r="CD6" i="1"/>
  <c r="CF5" i="1" l="1"/>
  <c r="CE6" i="1"/>
  <c r="CF6" i="1" l="1"/>
  <c r="CG5" i="1"/>
  <c r="CF4" i="1"/>
  <c r="CG6" i="1" l="1"/>
  <c r="CH5" i="1"/>
  <c r="CH6" i="1" l="1"/>
  <c r="CI5" i="1"/>
  <c r="CJ5" i="1" l="1"/>
  <c r="CI6" i="1"/>
  <c r="CK5" i="1" l="1"/>
  <c r="CJ6" i="1"/>
  <c r="CK6" i="1" l="1"/>
  <c r="CL5" i="1"/>
  <c r="CL6" i="1" l="1"/>
  <c r="CM5" i="1"/>
  <c r="CM6" i="1" l="1"/>
  <c r="CM4" i="1"/>
  <c r="CN5" i="1"/>
  <c r="CO5" i="1" l="1"/>
  <c r="CN6" i="1"/>
  <c r="CP5" i="1" l="1"/>
  <c r="CO6" i="1"/>
  <c r="CP6" i="1" l="1"/>
  <c r="CQ5" i="1"/>
  <c r="CQ6" i="1" l="1"/>
  <c r="CR5" i="1"/>
  <c r="CR6" i="1" l="1"/>
  <c r="CS5" i="1"/>
  <c r="CT5" i="1" l="1"/>
  <c r="CS6" i="1"/>
  <c r="CU5" i="1" l="1"/>
  <c r="CT4" i="1"/>
  <c r="CT6" i="1"/>
  <c r="CV5" i="1" l="1"/>
  <c r="CU6" i="1"/>
  <c r="CV6" i="1" l="1"/>
  <c r="CW5" i="1"/>
  <c r="CW6" i="1" l="1"/>
  <c r="CX5" i="1"/>
  <c r="CY5" i="1" l="1"/>
  <c r="CX6" i="1"/>
  <c r="CZ5" i="1" l="1"/>
  <c r="CZ6" i="1" s="1"/>
  <c r="CY6" i="1"/>
</calcChain>
</file>

<file path=xl/sharedStrings.xml><?xml version="1.0" encoding="utf-8"?>
<sst xmlns="http://schemas.openxmlformats.org/spreadsheetml/2006/main" count="36" uniqueCount="24">
  <si>
    <t>TAREA</t>
  </si>
  <si>
    <t>RESPONSABLE</t>
  </si>
  <si>
    <t>PROGRESO</t>
  </si>
  <si>
    <t>INICIO</t>
  </si>
  <si>
    <t>FIN</t>
  </si>
  <si>
    <t>FASE 1</t>
  </si>
  <si>
    <t>Tarea 1.1</t>
  </si>
  <si>
    <t>Tarea 1.2</t>
  </si>
  <si>
    <t>Tarea 1.3</t>
  </si>
  <si>
    <t>Tarea 1.4</t>
  </si>
  <si>
    <t>Tarea 1.5</t>
  </si>
  <si>
    <t>FASE 2</t>
  </si>
  <si>
    <t>Tarea 2.1</t>
  </si>
  <si>
    <t>Tarea 2.2</t>
  </si>
  <si>
    <t>Tarea 2.3</t>
  </si>
  <si>
    <t>Tarea 2.4</t>
  </si>
  <si>
    <t>FASE 3</t>
  </si>
  <si>
    <t>Tarea 3.1</t>
  </si>
  <si>
    <t>Tarea 3.2</t>
  </si>
  <si>
    <t>Tarea 3.3</t>
  </si>
  <si>
    <t>Tarea 3.4</t>
  </si>
  <si>
    <t>Persona X</t>
  </si>
  <si>
    <t>INICIO DEL PROYECTO</t>
  </si>
  <si>
    <t>ROBOT PODADOR - Sanchez, Venieri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</si>
</sst>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dd/mm/yy;@"/>
    <numFmt numFmtId="166" formatCode="dd"/>
    <numFmt numFmtId="167" formatCode="ddd\,\ dd/dd/yy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6" fontId="3" fillId="6" borderId="0" xfId="0" applyNumberFormat="1" applyFont="1" applyFill="1" applyAlignment="1">
      <alignment horizontal="center" vertical="center"/>
    </xf>
    <xf numFmtId="166" fontId="3" fillId="5" borderId="0" xfId="0" applyNumberFormat="1" applyFont="1" applyFill="1" applyAlignment="1">
      <alignment horizontal="center" vertical="center"/>
    </xf>
    <xf numFmtId="166" fontId="3" fillId="7" borderId="0" xfId="0" applyNumberFormat="1" applyFont="1" applyFill="1" applyAlignment="1">
      <alignment horizontal="center" vertical="center"/>
    </xf>
    <xf numFmtId="166" fontId="3" fillId="3" borderId="4" xfId="0" applyNumberFormat="1" applyFont="1" applyFill="1" applyBorder="1" applyAlignment="1">
      <alignment horizontal="center" vertical="center"/>
    </xf>
    <xf numFmtId="166" fontId="3" fillId="3" borderId="0" xfId="0" applyNumberFormat="1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0" fillId="0" borderId="6" xfId="0" applyBorder="1"/>
    <xf numFmtId="9" fontId="0" fillId="0" borderId="6" xfId="0" applyNumberFormat="1" applyBorder="1" applyAlignment="1">
      <alignment horizontal="center" vertical="center"/>
    </xf>
    <xf numFmtId="165" fontId="0" fillId="0" borderId="6" xfId="0" applyNumberFormat="1" applyBorder="1"/>
    <xf numFmtId="165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 patternType="none">
          <bgColor auto="1"/>
        </patternFill>
      </fill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2" fmlaLink="$D$4" horiz="1" max="98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171450</xdr:rowOff>
        </xdr:from>
        <xdr:to>
          <xdr:col>5</xdr:col>
          <xdr:colOff>1</xdr:colOff>
          <xdr:row>3</xdr:row>
          <xdr:rowOff>219074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CZ40"/>
  <sheetViews>
    <sheetView showGridLines="0" tabSelected="1" workbookViewId="0">
      <pane ySplit="6" topLeftCell="A7" activePane="bottomLeft" state="frozen"/>
      <selection pane="bottomLeft" activeCell="A2" sqref="A2:E2"/>
    </sheetView>
  </sheetViews>
  <sheetFormatPr baseColWidth="10" defaultRowHeight="15" x14ac:dyDescent="0.25"/>
  <cols>
    <col min="1" max="2" width="15.7109375" customWidth="1"/>
    <col min="3" max="3" width="11.42578125" style="1"/>
    <col min="6" max="6" width="3.7109375" customWidth="1"/>
    <col min="7" max="104" width="4.7109375" customWidth="1"/>
  </cols>
  <sheetData>
    <row r="2" spans="1:104" ht="15.75" x14ac:dyDescent="0.25">
      <c r="A2" s="27" t="s">
        <v>23</v>
      </c>
      <c r="B2" s="27"/>
      <c r="C2" s="27"/>
      <c r="D2" s="27"/>
      <c r="E2" s="27"/>
    </row>
    <row r="3" spans="1:104" ht="14.25" customHeight="1" x14ac:dyDescent="0.25">
      <c r="G3" s="16"/>
    </row>
    <row r="4" spans="1:104" ht="18" customHeight="1" x14ac:dyDescent="0.25">
      <c r="D4" s="3">
        <v>0</v>
      </c>
      <c r="E4" s="7">
        <f>D5+D4</f>
        <v>46125</v>
      </c>
      <c r="G4" s="23">
        <f>G5</f>
        <v>46125</v>
      </c>
      <c r="H4" s="24"/>
      <c r="I4" s="24"/>
      <c r="J4" s="24"/>
      <c r="K4" s="24"/>
      <c r="L4" s="24"/>
      <c r="M4" s="25"/>
      <c r="N4" s="23">
        <f>N5</f>
        <v>46132</v>
      </c>
      <c r="O4" s="24"/>
      <c r="P4" s="24"/>
      <c r="Q4" s="24"/>
      <c r="R4" s="24"/>
      <c r="S4" s="24"/>
      <c r="T4" s="25"/>
      <c r="U4" s="23">
        <f t="shared" ref="U4" si="0">U5</f>
        <v>46139</v>
      </c>
      <c r="V4" s="24"/>
      <c r="W4" s="24"/>
      <c r="X4" s="24"/>
      <c r="Y4" s="24"/>
      <c r="Z4" s="24"/>
      <c r="AA4" s="25"/>
      <c r="AB4" s="23">
        <f t="shared" ref="AB4" si="1">AB5</f>
        <v>46146</v>
      </c>
      <c r="AC4" s="24"/>
      <c r="AD4" s="24"/>
      <c r="AE4" s="24"/>
      <c r="AF4" s="24"/>
      <c r="AG4" s="24"/>
      <c r="AH4" s="25"/>
      <c r="AI4" s="23">
        <f t="shared" ref="AI4" si="2">AI5</f>
        <v>46153</v>
      </c>
      <c r="AJ4" s="24"/>
      <c r="AK4" s="24"/>
      <c r="AL4" s="24"/>
      <c r="AM4" s="24"/>
      <c r="AN4" s="24"/>
      <c r="AO4" s="25"/>
      <c r="AP4" s="23">
        <f t="shared" ref="AP4" si="3">AP5</f>
        <v>46160</v>
      </c>
      <c r="AQ4" s="24"/>
      <c r="AR4" s="24"/>
      <c r="AS4" s="24"/>
      <c r="AT4" s="24"/>
      <c r="AU4" s="24"/>
      <c r="AV4" s="25"/>
      <c r="AW4" s="23">
        <f t="shared" ref="AW4" si="4">AW5</f>
        <v>46167</v>
      </c>
      <c r="AX4" s="24"/>
      <c r="AY4" s="24"/>
      <c r="AZ4" s="24"/>
      <c r="BA4" s="24"/>
      <c r="BB4" s="24"/>
      <c r="BC4" s="25"/>
      <c r="BD4" s="23">
        <f t="shared" ref="BD4" si="5">BD5</f>
        <v>46174</v>
      </c>
      <c r="BE4" s="24"/>
      <c r="BF4" s="24"/>
      <c r="BG4" s="24"/>
      <c r="BH4" s="24"/>
      <c r="BI4" s="24"/>
      <c r="BJ4" s="25"/>
      <c r="BK4" s="23">
        <f t="shared" ref="BK4" si="6">BK5</f>
        <v>46181</v>
      </c>
      <c r="BL4" s="24"/>
      <c r="BM4" s="24"/>
      <c r="BN4" s="24"/>
      <c r="BO4" s="24"/>
      <c r="BP4" s="24"/>
      <c r="BQ4" s="25"/>
      <c r="BR4" s="23">
        <f t="shared" ref="BR4" si="7">BR5</f>
        <v>46188</v>
      </c>
      <c r="BS4" s="24"/>
      <c r="BT4" s="24"/>
      <c r="BU4" s="24"/>
      <c r="BV4" s="24"/>
      <c r="BW4" s="24"/>
      <c r="BX4" s="25"/>
      <c r="BY4" s="23">
        <f t="shared" ref="BY4" si="8">BY5</f>
        <v>46195</v>
      </c>
      <c r="BZ4" s="24"/>
      <c r="CA4" s="24"/>
      <c r="CB4" s="24"/>
      <c r="CC4" s="24"/>
      <c r="CD4" s="24"/>
      <c r="CE4" s="25"/>
      <c r="CF4" s="23">
        <f t="shared" ref="CF4" si="9">CF5</f>
        <v>46202</v>
      </c>
      <c r="CG4" s="24"/>
      <c r="CH4" s="24"/>
      <c r="CI4" s="24"/>
      <c r="CJ4" s="24"/>
      <c r="CK4" s="24"/>
      <c r="CL4" s="25"/>
      <c r="CM4" s="23">
        <f t="shared" ref="CM4" si="10">CM5</f>
        <v>46209</v>
      </c>
      <c r="CN4" s="24"/>
      <c r="CO4" s="24"/>
      <c r="CP4" s="24"/>
      <c r="CQ4" s="24"/>
      <c r="CR4" s="24"/>
      <c r="CS4" s="25"/>
      <c r="CT4" s="23">
        <f t="shared" ref="CT4" si="11">CT5</f>
        <v>46216</v>
      </c>
      <c r="CU4" s="24"/>
      <c r="CV4" s="24"/>
      <c r="CW4" s="24"/>
      <c r="CX4" s="24"/>
      <c r="CY4" s="24"/>
      <c r="CZ4" s="25"/>
    </row>
    <row r="5" spans="1:104" x14ac:dyDescent="0.25">
      <c r="B5" s="4" t="s">
        <v>22</v>
      </c>
      <c r="C5" s="4"/>
      <c r="D5" s="5">
        <v>46125</v>
      </c>
      <c r="E5" s="6"/>
      <c r="G5" s="12">
        <f>E4</f>
        <v>46125</v>
      </c>
      <c r="H5" s="13">
        <f>G5+1</f>
        <v>46126</v>
      </c>
      <c r="I5" s="13">
        <f>H5+1</f>
        <v>46127</v>
      </c>
      <c r="J5" s="13">
        <f t="shared" ref="J5:BU5" si="12">I5+1</f>
        <v>46128</v>
      </c>
      <c r="K5" s="13">
        <f t="shared" si="12"/>
        <v>46129</v>
      </c>
      <c r="L5" s="13">
        <f t="shared" si="12"/>
        <v>46130</v>
      </c>
      <c r="M5" s="14">
        <f t="shared" si="12"/>
        <v>46131</v>
      </c>
      <c r="N5" s="12">
        <f t="shared" si="12"/>
        <v>46132</v>
      </c>
      <c r="O5" s="13">
        <f t="shared" si="12"/>
        <v>46133</v>
      </c>
      <c r="P5" s="13">
        <f t="shared" si="12"/>
        <v>46134</v>
      </c>
      <c r="Q5" s="13">
        <f t="shared" si="12"/>
        <v>46135</v>
      </c>
      <c r="R5" s="13">
        <f t="shared" si="12"/>
        <v>46136</v>
      </c>
      <c r="S5" s="13">
        <f t="shared" si="12"/>
        <v>46137</v>
      </c>
      <c r="T5" s="14">
        <f t="shared" si="12"/>
        <v>46138</v>
      </c>
      <c r="U5" s="8">
        <f t="shared" si="12"/>
        <v>46139</v>
      </c>
      <c r="V5" s="8">
        <f t="shared" si="12"/>
        <v>46140</v>
      </c>
      <c r="W5" s="8">
        <f t="shared" si="12"/>
        <v>46141</v>
      </c>
      <c r="X5" s="8">
        <f t="shared" si="12"/>
        <v>46142</v>
      </c>
      <c r="Y5" s="9">
        <f t="shared" si="12"/>
        <v>46143</v>
      </c>
      <c r="Z5" s="9">
        <f t="shared" si="12"/>
        <v>46144</v>
      </c>
      <c r="AA5" s="9">
        <f t="shared" si="12"/>
        <v>46145</v>
      </c>
      <c r="AB5" s="9">
        <f t="shared" si="12"/>
        <v>46146</v>
      </c>
      <c r="AC5" s="9">
        <f t="shared" si="12"/>
        <v>46147</v>
      </c>
      <c r="AD5" s="9">
        <f t="shared" si="12"/>
        <v>46148</v>
      </c>
      <c r="AE5" s="9">
        <f t="shared" si="12"/>
        <v>46149</v>
      </c>
      <c r="AF5" s="9">
        <f t="shared" si="12"/>
        <v>46150</v>
      </c>
      <c r="AG5" s="9">
        <f t="shared" si="12"/>
        <v>46151</v>
      </c>
      <c r="AH5" s="9">
        <f t="shared" si="12"/>
        <v>46152</v>
      </c>
      <c r="AI5" s="9">
        <f t="shared" si="12"/>
        <v>46153</v>
      </c>
      <c r="AJ5" s="9">
        <f t="shared" si="12"/>
        <v>46154</v>
      </c>
      <c r="AK5" s="9">
        <f t="shared" si="12"/>
        <v>46155</v>
      </c>
      <c r="AL5" s="9">
        <f t="shared" si="12"/>
        <v>46156</v>
      </c>
      <c r="AM5" s="9">
        <f t="shared" si="12"/>
        <v>46157</v>
      </c>
      <c r="AN5" s="9">
        <f t="shared" si="12"/>
        <v>46158</v>
      </c>
      <c r="AO5" s="9">
        <f t="shared" si="12"/>
        <v>46159</v>
      </c>
      <c r="AP5" s="9">
        <f t="shared" si="12"/>
        <v>46160</v>
      </c>
      <c r="AQ5" s="9">
        <f t="shared" si="12"/>
        <v>46161</v>
      </c>
      <c r="AR5" s="9">
        <f t="shared" si="12"/>
        <v>46162</v>
      </c>
      <c r="AS5" s="9">
        <f t="shared" si="12"/>
        <v>46163</v>
      </c>
      <c r="AT5" s="9">
        <f t="shared" si="12"/>
        <v>46164</v>
      </c>
      <c r="AU5" s="9">
        <f t="shared" si="12"/>
        <v>46165</v>
      </c>
      <c r="AV5" s="9">
        <f t="shared" si="12"/>
        <v>46166</v>
      </c>
      <c r="AW5" s="9">
        <f t="shared" si="12"/>
        <v>46167</v>
      </c>
      <c r="AX5" s="9">
        <f t="shared" si="12"/>
        <v>46168</v>
      </c>
      <c r="AY5" s="9">
        <f t="shared" si="12"/>
        <v>46169</v>
      </c>
      <c r="AZ5" s="9">
        <f t="shared" si="12"/>
        <v>46170</v>
      </c>
      <c r="BA5" s="9">
        <f t="shared" si="12"/>
        <v>46171</v>
      </c>
      <c r="BB5" s="9">
        <f t="shared" si="12"/>
        <v>46172</v>
      </c>
      <c r="BC5" s="9">
        <f t="shared" si="12"/>
        <v>46173</v>
      </c>
      <c r="BD5" s="10">
        <f t="shared" si="12"/>
        <v>46174</v>
      </c>
      <c r="BE5" s="10">
        <f t="shared" si="12"/>
        <v>46175</v>
      </c>
      <c r="BF5" s="10">
        <f t="shared" si="12"/>
        <v>46176</v>
      </c>
      <c r="BG5" s="10">
        <f t="shared" si="12"/>
        <v>46177</v>
      </c>
      <c r="BH5" s="10">
        <f t="shared" si="12"/>
        <v>46178</v>
      </c>
      <c r="BI5" s="10">
        <f t="shared" si="12"/>
        <v>46179</v>
      </c>
      <c r="BJ5" s="10">
        <f t="shared" si="12"/>
        <v>46180</v>
      </c>
      <c r="BK5" s="10">
        <f t="shared" si="12"/>
        <v>46181</v>
      </c>
      <c r="BL5" s="10">
        <f t="shared" si="12"/>
        <v>46182</v>
      </c>
      <c r="BM5" s="10">
        <f t="shared" si="12"/>
        <v>46183</v>
      </c>
      <c r="BN5" s="10">
        <f t="shared" si="12"/>
        <v>46184</v>
      </c>
      <c r="BO5" s="10">
        <f t="shared" si="12"/>
        <v>46185</v>
      </c>
      <c r="BP5" s="10">
        <f t="shared" si="12"/>
        <v>46186</v>
      </c>
      <c r="BQ5" s="10">
        <f t="shared" si="12"/>
        <v>46187</v>
      </c>
      <c r="BR5" s="10">
        <f t="shared" si="12"/>
        <v>46188</v>
      </c>
      <c r="BS5" s="10">
        <f t="shared" si="12"/>
        <v>46189</v>
      </c>
      <c r="BT5" s="10">
        <f t="shared" si="12"/>
        <v>46190</v>
      </c>
      <c r="BU5" s="10">
        <f t="shared" si="12"/>
        <v>46191</v>
      </c>
      <c r="BV5" s="10">
        <f t="shared" ref="BV5:CZ5" si="13">BU5+1</f>
        <v>46192</v>
      </c>
      <c r="BW5" s="10">
        <f t="shared" si="13"/>
        <v>46193</v>
      </c>
      <c r="BX5" s="10">
        <f t="shared" si="13"/>
        <v>46194</v>
      </c>
      <c r="BY5" s="10">
        <f t="shared" si="13"/>
        <v>46195</v>
      </c>
      <c r="BZ5" s="10">
        <f t="shared" si="13"/>
        <v>46196</v>
      </c>
      <c r="CA5" s="10">
        <f t="shared" si="13"/>
        <v>46197</v>
      </c>
      <c r="CB5" s="10">
        <f t="shared" si="13"/>
        <v>46198</v>
      </c>
      <c r="CC5" s="10">
        <f t="shared" si="13"/>
        <v>46199</v>
      </c>
      <c r="CD5" s="10">
        <f t="shared" si="13"/>
        <v>46200</v>
      </c>
      <c r="CE5" s="10">
        <f t="shared" si="13"/>
        <v>46201</v>
      </c>
      <c r="CF5" s="10">
        <f t="shared" si="13"/>
        <v>46202</v>
      </c>
      <c r="CG5" s="10">
        <f t="shared" si="13"/>
        <v>46203</v>
      </c>
      <c r="CH5" s="11">
        <f t="shared" si="13"/>
        <v>46204</v>
      </c>
      <c r="CI5" s="11">
        <f t="shared" si="13"/>
        <v>46205</v>
      </c>
      <c r="CJ5" s="11">
        <f t="shared" si="13"/>
        <v>46206</v>
      </c>
      <c r="CK5" s="11">
        <f t="shared" si="13"/>
        <v>46207</v>
      </c>
      <c r="CL5" s="11">
        <f t="shared" si="13"/>
        <v>46208</v>
      </c>
      <c r="CM5" s="11">
        <f t="shared" si="13"/>
        <v>46209</v>
      </c>
      <c r="CN5" s="11">
        <f t="shared" si="13"/>
        <v>46210</v>
      </c>
      <c r="CO5" s="11">
        <f t="shared" si="13"/>
        <v>46211</v>
      </c>
      <c r="CP5" s="11">
        <f t="shared" si="13"/>
        <v>46212</v>
      </c>
      <c r="CQ5" s="11">
        <f t="shared" si="13"/>
        <v>46213</v>
      </c>
      <c r="CR5" s="11">
        <f t="shared" si="13"/>
        <v>46214</v>
      </c>
      <c r="CS5" s="11">
        <f t="shared" si="13"/>
        <v>46215</v>
      </c>
      <c r="CT5" s="11">
        <f t="shared" si="13"/>
        <v>46216</v>
      </c>
      <c r="CU5" s="11">
        <f t="shared" si="13"/>
        <v>46217</v>
      </c>
      <c r="CV5" s="11">
        <f t="shared" si="13"/>
        <v>46218</v>
      </c>
      <c r="CW5" s="11">
        <f t="shared" si="13"/>
        <v>46219</v>
      </c>
      <c r="CX5" s="11">
        <f t="shared" si="13"/>
        <v>46220</v>
      </c>
      <c r="CY5" s="11">
        <f t="shared" si="13"/>
        <v>46221</v>
      </c>
      <c r="CZ5" s="11">
        <f t="shared" si="13"/>
        <v>46222</v>
      </c>
    </row>
    <row r="6" spans="1:104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G6" s="26" t="str">
        <f>(UPPER(LEFT(TEXT(G5,"DDD"),1)))</f>
        <v>L</v>
      </c>
      <c r="H6" s="26" t="str">
        <f t="shared" ref="H6:BS6" si="14">(UPPER(LEFT(TEXT(H5,"DDD"))))</f>
        <v>M</v>
      </c>
      <c r="I6" s="26" t="str">
        <f t="shared" si="14"/>
        <v>M</v>
      </c>
      <c r="J6" s="26" t="str">
        <f t="shared" si="14"/>
        <v>J</v>
      </c>
      <c r="K6" s="26" t="str">
        <f t="shared" si="14"/>
        <v>V</v>
      </c>
      <c r="L6" s="26" t="str">
        <f t="shared" si="14"/>
        <v>S</v>
      </c>
      <c r="M6" s="26" t="str">
        <f t="shared" si="14"/>
        <v>D</v>
      </c>
      <c r="N6" s="26" t="str">
        <f t="shared" si="14"/>
        <v>L</v>
      </c>
      <c r="O6" s="26" t="str">
        <f t="shared" si="14"/>
        <v>M</v>
      </c>
      <c r="P6" s="26" t="str">
        <f t="shared" si="14"/>
        <v>M</v>
      </c>
      <c r="Q6" s="26" t="str">
        <f t="shared" si="14"/>
        <v>J</v>
      </c>
      <c r="R6" s="26" t="str">
        <f t="shared" si="14"/>
        <v>V</v>
      </c>
      <c r="S6" s="26" t="str">
        <f t="shared" si="14"/>
        <v>S</v>
      </c>
      <c r="T6" s="26" t="str">
        <f t="shared" si="14"/>
        <v>D</v>
      </c>
      <c r="U6" s="26" t="str">
        <f t="shared" si="14"/>
        <v>L</v>
      </c>
      <c r="V6" s="26" t="str">
        <f t="shared" si="14"/>
        <v>M</v>
      </c>
      <c r="W6" s="26" t="str">
        <f t="shared" si="14"/>
        <v>M</v>
      </c>
      <c r="X6" s="26" t="str">
        <f t="shared" si="14"/>
        <v>J</v>
      </c>
      <c r="Y6" s="26" t="str">
        <f t="shared" si="14"/>
        <v>V</v>
      </c>
      <c r="Z6" s="26" t="str">
        <f t="shared" si="14"/>
        <v>S</v>
      </c>
      <c r="AA6" s="26" t="str">
        <f t="shared" si="14"/>
        <v>D</v>
      </c>
      <c r="AB6" s="26" t="str">
        <f t="shared" si="14"/>
        <v>L</v>
      </c>
      <c r="AC6" s="26" t="str">
        <f t="shared" si="14"/>
        <v>M</v>
      </c>
      <c r="AD6" s="26" t="str">
        <f t="shared" si="14"/>
        <v>M</v>
      </c>
      <c r="AE6" s="26" t="str">
        <f t="shared" si="14"/>
        <v>J</v>
      </c>
      <c r="AF6" s="26" t="str">
        <f t="shared" si="14"/>
        <v>V</v>
      </c>
      <c r="AG6" s="26" t="str">
        <f t="shared" si="14"/>
        <v>S</v>
      </c>
      <c r="AH6" s="26" t="str">
        <f t="shared" si="14"/>
        <v>D</v>
      </c>
      <c r="AI6" s="26" t="str">
        <f t="shared" si="14"/>
        <v>L</v>
      </c>
      <c r="AJ6" s="26" t="str">
        <f t="shared" si="14"/>
        <v>M</v>
      </c>
      <c r="AK6" s="26" t="str">
        <f t="shared" si="14"/>
        <v>M</v>
      </c>
      <c r="AL6" s="26" t="str">
        <f t="shared" si="14"/>
        <v>J</v>
      </c>
      <c r="AM6" s="26" t="str">
        <f t="shared" si="14"/>
        <v>V</v>
      </c>
      <c r="AN6" s="26" t="str">
        <f t="shared" si="14"/>
        <v>S</v>
      </c>
      <c r="AO6" s="26" t="str">
        <f t="shared" si="14"/>
        <v>D</v>
      </c>
      <c r="AP6" s="26" t="str">
        <f t="shared" si="14"/>
        <v>L</v>
      </c>
      <c r="AQ6" s="26" t="str">
        <f t="shared" si="14"/>
        <v>M</v>
      </c>
      <c r="AR6" s="26" t="str">
        <f t="shared" si="14"/>
        <v>M</v>
      </c>
      <c r="AS6" s="26" t="str">
        <f t="shared" si="14"/>
        <v>J</v>
      </c>
      <c r="AT6" s="26" t="str">
        <f t="shared" si="14"/>
        <v>V</v>
      </c>
      <c r="AU6" s="26" t="str">
        <f t="shared" si="14"/>
        <v>S</v>
      </c>
      <c r="AV6" s="26" t="str">
        <f t="shared" si="14"/>
        <v>D</v>
      </c>
      <c r="AW6" s="26" t="str">
        <f t="shared" si="14"/>
        <v>L</v>
      </c>
      <c r="AX6" s="26" t="str">
        <f t="shared" si="14"/>
        <v>M</v>
      </c>
      <c r="AY6" s="26" t="str">
        <f t="shared" si="14"/>
        <v>M</v>
      </c>
      <c r="AZ6" s="26" t="str">
        <f t="shared" si="14"/>
        <v>J</v>
      </c>
      <c r="BA6" s="26" t="str">
        <f t="shared" si="14"/>
        <v>V</v>
      </c>
      <c r="BB6" s="26" t="str">
        <f t="shared" si="14"/>
        <v>S</v>
      </c>
      <c r="BC6" s="26" t="str">
        <f t="shared" si="14"/>
        <v>D</v>
      </c>
      <c r="BD6" s="26" t="str">
        <f t="shared" si="14"/>
        <v>L</v>
      </c>
      <c r="BE6" s="26" t="str">
        <f t="shared" si="14"/>
        <v>M</v>
      </c>
      <c r="BF6" s="26" t="str">
        <f t="shared" si="14"/>
        <v>M</v>
      </c>
      <c r="BG6" s="26" t="str">
        <f t="shared" si="14"/>
        <v>J</v>
      </c>
      <c r="BH6" s="26" t="str">
        <f t="shared" si="14"/>
        <v>V</v>
      </c>
      <c r="BI6" s="26" t="str">
        <f t="shared" si="14"/>
        <v>S</v>
      </c>
      <c r="BJ6" s="26" t="str">
        <f t="shared" si="14"/>
        <v>D</v>
      </c>
      <c r="BK6" s="26" t="str">
        <f t="shared" si="14"/>
        <v>L</v>
      </c>
      <c r="BL6" s="26" t="str">
        <f t="shared" si="14"/>
        <v>M</v>
      </c>
      <c r="BM6" s="26" t="str">
        <f t="shared" si="14"/>
        <v>M</v>
      </c>
      <c r="BN6" s="26" t="str">
        <f t="shared" si="14"/>
        <v>J</v>
      </c>
      <c r="BO6" s="26" t="str">
        <f t="shared" si="14"/>
        <v>V</v>
      </c>
      <c r="BP6" s="26" t="str">
        <f t="shared" si="14"/>
        <v>S</v>
      </c>
      <c r="BQ6" s="26" t="str">
        <f t="shared" si="14"/>
        <v>D</v>
      </c>
      <c r="BR6" s="26" t="str">
        <f t="shared" si="14"/>
        <v>L</v>
      </c>
      <c r="BS6" s="26" t="str">
        <f t="shared" si="14"/>
        <v>M</v>
      </c>
      <c r="BT6" s="26" t="str">
        <f t="shared" ref="BT6:CZ6" si="15">(UPPER(LEFT(TEXT(BT5,"DDD"))))</f>
        <v>M</v>
      </c>
      <c r="BU6" s="26" t="str">
        <f t="shared" si="15"/>
        <v>J</v>
      </c>
      <c r="BV6" s="26" t="str">
        <f t="shared" si="15"/>
        <v>V</v>
      </c>
      <c r="BW6" s="26" t="str">
        <f t="shared" si="15"/>
        <v>S</v>
      </c>
      <c r="BX6" s="26" t="str">
        <f t="shared" si="15"/>
        <v>D</v>
      </c>
      <c r="BY6" s="26" t="str">
        <f t="shared" si="15"/>
        <v>L</v>
      </c>
      <c r="BZ6" s="26" t="str">
        <f t="shared" si="15"/>
        <v>M</v>
      </c>
      <c r="CA6" s="26" t="str">
        <f t="shared" si="15"/>
        <v>M</v>
      </c>
      <c r="CB6" s="26" t="str">
        <f t="shared" si="15"/>
        <v>J</v>
      </c>
      <c r="CC6" s="26" t="str">
        <f t="shared" si="15"/>
        <v>V</v>
      </c>
      <c r="CD6" s="26" t="str">
        <f t="shared" si="15"/>
        <v>S</v>
      </c>
      <c r="CE6" s="26" t="str">
        <f t="shared" si="15"/>
        <v>D</v>
      </c>
      <c r="CF6" s="26" t="str">
        <f t="shared" si="15"/>
        <v>L</v>
      </c>
      <c r="CG6" s="26" t="str">
        <f t="shared" si="15"/>
        <v>M</v>
      </c>
      <c r="CH6" s="26" t="str">
        <f t="shared" si="15"/>
        <v>M</v>
      </c>
      <c r="CI6" s="26" t="str">
        <f t="shared" si="15"/>
        <v>J</v>
      </c>
      <c r="CJ6" s="26" t="str">
        <f t="shared" si="15"/>
        <v>V</v>
      </c>
      <c r="CK6" s="26" t="str">
        <f t="shared" si="15"/>
        <v>S</v>
      </c>
      <c r="CL6" s="26" t="str">
        <f t="shared" si="15"/>
        <v>D</v>
      </c>
      <c r="CM6" s="26" t="str">
        <f t="shared" si="15"/>
        <v>L</v>
      </c>
      <c r="CN6" s="26" t="str">
        <f t="shared" si="15"/>
        <v>M</v>
      </c>
      <c r="CO6" s="26" t="str">
        <f t="shared" si="15"/>
        <v>M</v>
      </c>
      <c r="CP6" s="26" t="str">
        <f t="shared" si="15"/>
        <v>J</v>
      </c>
      <c r="CQ6" s="26" t="str">
        <f t="shared" si="15"/>
        <v>V</v>
      </c>
      <c r="CR6" s="26" t="str">
        <f t="shared" si="15"/>
        <v>S</v>
      </c>
      <c r="CS6" s="26" t="str">
        <f t="shared" si="15"/>
        <v>D</v>
      </c>
      <c r="CT6" s="26" t="str">
        <f t="shared" si="15"/>
        <v>L</v>
      </c>
      <c r="CU6" s="26" t="str">
        <f t="shared" si="15"/>
        <v>M</v>
      </c>
      <c r="CV6" s="26" t="str">
        <f t="shared" si="15"/>
        <v>M</v>
      </c>
      <c r="CW6" s="26" t="str">
        <f t="shared" si="15"/>
        <v>J</v>
      </c>
      <c r="CX6" s="26" t="str">
        <f t="shared" si="15"/>
        <v>V</v>
      </c>
      <c r="CY6" s="26" t="str">
        <f t="shared" si="15"/>
        <v>S</v>
      </c>
      <c r="CZ6" s="26" t="str">
        <f t="shared" si="15"/>
        <v>D</v>
      </c>
    </row>
    <row r="7" spans="1:104" x14ac:dyDescent="0.25">
      <c r="A7" s="15" t="s">
        <v>5</v>
      </c>
      <c r="B7" s="16"/>
      <c r="C7" s="17"/>
      <c r="D7" s="18"/>
      <c r="E7" s="18"/>
      <c r="F7" s="16"/>
      <c r="G7" s="21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22"/>
    </row>
    <row r="8" spans="1:104" x14ac:dyDescent="0.25">
      <c r="A8" s="16" t="s">
        <v>6</v>
      </c>
      <c r="B8" s="16" t="s">
        <v>21</v>
      </c>
      <c r="C8" s="17">
        <v>0.5</v>
      </c>
      <c r="D8" s="19">
        <v>46125</v>
      </c>
      <c r="E8" s="19">
        <v>46132</v>
      </c>
      <c r="F8" s="16"/>
      <c r="G8" s="21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22"/>
    </row>
    <row r="9" spans="1:104" x14ac:dyDescent="0.25">
      <c r="A9" s="16" t="s">
        <v>7</v>
      </c>
      <c r="B9" s="16" t="s">
        <v>21</v>
      </c>
      <c r="C9" s="17">
        <v>1</v>
      </c>
      <c r="D9" s="19">
        <v>46135</v>
      </c>
      <c r="E9" s="19">
        <v>46142</v>
      </c>
      <c r="F9" s="16"/>
      <c r="G9" s="21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22"/>
    </row>
    <row r="10" spans="1:104" x14ac:dyDescent="0.25">
      <c r="A10" s="16" t="s">
        <v>8</v>
      </c>
      <c r="B10" s="16" t="s">
        <v>21</v>
      </c>
      <c r="C10" s="17">
        <v>0.6</v>
      </c>
      <c r="D10" s="19">
        <v>46135</v>
      </c>
      <c r="E10" s="19">
        <v>46142</v>
      </c>
      <c r="F10" s="16"/>
      <c r="G10" s="21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22"/>
    </row>
    <row r="11" spans="1:104" x14ac:dyDescent="0.25">
      <c r="A11" s="16" t="s">
        <v>9</v>
      </c>
      <c r="B11" s="16" t="s">
        <v>21</v>
      </c>
      <c r="C11" s="17">
        <v>0.25</v>
      </c>
      <c r="D11" s="19">
        <v>46135</v>
      </c>
      <c r="E11" s="19">
        <v>46142</v>
      </c>
      <c r="F11" s="16"/>
      <c r="G11" s="21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22"/>
    </row>
    <row r="12" spans="1:104" x14ac:dyDescent="0.25">
      <c r="A12" s="16" t="s">
        <v>10</v>
      </c>
      <c r="B12" s="16" t="s">
        <v>21</v>
      </c>
      <c r="C12" s="17">
        <v>0.39</v>
      </c>
      <c r="D12" s="19">
        <v>46135</v>
      </c>
      <c r="E12" s="19">
        <v>46142</v>
      </c>
      <c r="F12" s="16"/>
      <c r="G12" s="21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22"/>
    </row>
    <row r="13" spans="1:104" x14ac:dyDescent="0.25">
      <c r="A13" s="15" t="s">
        <v>11</v>
      </c>
      <c r="B13" s="16"/>
      <c r="C13" s="17"/>
      <c r="D13" s="19"/>
      <c r="E13" s="19"/>
      <c r="F13" s="16"/>
      <c r="G13" s="21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22"/>
    </row>
    <row r="14" spans="1:104" x14ac:dyDescent="0.25">
      <c r="A14" s="16" t="s">
        <v>12</v>
      </c>
      <c r="B14" s="16" t="s">
        <v>21</v>
      </c>
      <c r="C14" s="17">
        <v>0.1</v>
      </c>
      <c r="D14" s="19">
        <v>46135</v>
      </c>
      <c r="E14" s="19">
        <v>46142</v>
      </c>
      <c r="F14" s="16"/>
      <c r="G14" s="21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22"/>
    </row>
    <row r="15" spans="1:104" x14ac:dyDescent="0.25">
      <c r="A15" s="16" t="s">
        <v>13</v>
      </c>
      <c r="B15" s="16" t="s">
        <v>21</v>
      </c>
      <c r="C15" s="17">
        <v>0.5</v>
      </c>
      <c r="D15" s="19">
        <v>46135</v>
      </c>
      <c r="E15" s="19">
        <v>46142</v>
      </c>
      <c r="F15" s="16"/>
      <c r="G15" s="21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22"/>
    </row>
    <row r="16" spans="1:104" x14ac:dyDescent="0.25">
      <c r="A16" s="16" t="s">
        <v>14</v>
      </c>
      <c r="B16" s="16" t="s">
        <v>21</v>
      </c>
      <c r="C16" s="17">
        <v>0.2</v>
      </c>
      <c r="D16" s="19">
        <v>46135</v>
      </c>
      <c r="E16" s="19">
        <v>46142</v>
      </c>
      <c r="F16" s="16"/>
      <c r="G16" s="21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22"/>
    </row>
    <row r="17" spans="1:104" x14ac:dyDescent="0.25">
      <c r="A17" s="16" t="s">
        <v>15</v>
      </c>
      <c r="B17" s="16" t="s">
        <v>21</v>
      </c>
      <c r="C17" s="17">
        <v>0.1</v>
      </c>
      <c r="D17" s="19">
        <v>46135</v>
      </c>
      <c r="E17" s="19">
        <v>46142</v>
      </c>
      <c r="F17" s="16"/>
      <c r="G17" s="21"/>
      <c r="H17" s="16"/>
      <c r="I17" s="16"/>
      <c r="J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22"/>
    </row>
    <row r="18" spans="1:104" x14ac:dyDescent="0.25">
      <c r="A18" s="15" t="s">
        <v>16</v>
      </c>
      <c r="B18" s="16"/>
      <c r="C18" s="17"/>
      <c r="D18" s="19"/>
      <c r="E18" s="19"/>
      <c r="F18" s="16"/>
      <c r="G18" s="21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22"/>
    </row>
    <row r="19" spans="1:104" x14ac:dyDescent="0.25">
      <c r="A19" s="16" t="s">
        <v>17</v>
      </c>
      <c r="B19" s="16" t="s">
        <v>21</v>
      </c>
      <c r="C19" s="17">
        <v>0.2</v>
      </c>
      <c r="D19" s="19">
        <v>46135</v>
      </c>
      <c r="E19" s="19">
        <v>46142</v>
      </c>
      <c r="F19" s="16"/>
      <c r="G19" s="21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22"/>
    </row>
    <row r="20" spans="1:104" x14ac:dyDescent="0.25">
      <c r="A20" s="16" t="s">
        <v>18</v>
      </c>
      <c r="B20" s="16" t="s">
        <v>21</v>
      </c>
      <c r="C20" s="17">
        <v>0.35</v>
      </c>
      <c r="D20" s="19">
        <v>46135</v>
      </c>
      <c r="E20" s="19">
        <v>46142</v>
      </c>
      <c r="F20" s="16"/>
      <c r="G20" s="21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22"/>
    </row>
    <row r="21" spans="1:104" x14ac:dyDescent="0.25">
      <c r="A21" s="16" t="s">
        <v>19</v>
      </c>
      <c r="B21" s="16" t="s">
        <v>21</v>
      </c>
      <c r="C21" s="17">
        <v>0.5</v>
      </c>
      <c r="D21" s="19">
        <v>46135</v>
      </c>
      <c r="E21" s="19">
        <v>46142</v>
      </c>
      <c r="F21" s="16"/>
      <c r="G21" s="21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22"/>
    </row>
    <row r="22" spans="1:104" x14ac:dyDescent="0.25">
      <c r="A22" s="16" t="s">
        <v>20</v>
      </c>
      <c r="B22" s="16" t="s">
        <v>21</v>
      </c>
      <c r="C22" s="17">
        <v>0.4</v>
      </c>
      <c r="D22" s="19">
        <v>46135</v>
      </c>
      <c r="E22" s="19">
        <v>46142</v>
      </c>
      <c r="F22" s="16"/>
      <c r="G22" s="21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22"/>
    </row>
    <row r="23" spans="1:104" x14ac:dyDescent="0.25">
      <c r="A23" s="16"/>
      <c r="B23" s="16"/>
      <c r="C23" s="20"/>
      <c r="D23" s="16"/>
      <c r="E23" s="16"/>
      <c r="F23" s="16"/>
      <c r="G23" s="21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22"/>
    </row>
    <row r="24" spans="1:104" x14ac:dyDescent="0.25">
      <c r="A24" s="16"/>
      <c r="B24" s="16"/>
      <c r="C24" s="20"/>
      <c r="D24" s="16"/>
      <c r="E24" s="16"/>
      <c r="F24" s="16"/>
      <c r="G24" s="21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22"/>
    </row>
    <row r="25" spans="1:104" x14ac:dyDescent="0.25">
      <c r="A25" s="16"/>
      <c r="B25" s="16"/>
      <c r="C25" s="20"/>
      <c r="D25" s="16"/>
      <c r="E25" s="16"/>
      <c r="F25" s="16"/>
      <c r="G25" s="21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22"/>
    </row>
    <row r="26" spans="1:104" x14ac:dyDescent="0.25">
      <c r="A26" s="16"/>
      <c r="B26" s="16"/>
      <c r="C26" s="20"/>
      <c r="D26" s="16"/>
      <c r="E26" s="16"/>
      <c r="F26" s="16"/>
      <c r="G26" s="21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22"/>
    </row>
    <row r="27" spans="1:104" x14ac:dyDescent="0.25">
      <c r="A27" s="15"/>
      <c r="B27" s="16"/>
      <c r="C27" s="20"/>
      <c r="D27" s="16"/>
      <c r="E27" s="16"/>
      <c r="F27" s="16"/>
      <c r="G27" s="21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22"/>
    </row>
    <row r="28" spans="1:104" x14ac:dyDescent="0.25">
      <c r="A28" s="16"/>
      <c r="B28" s="16"/>
      <c r="C28" s="20"/>
      <c r="D28" s="16"/>
      <c r="E28" s="16"/>
      <c r="F28" s="16"/>
      <c r="G28" s="21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22"/>
    </row>
    <row r="29" spans="1:104" x14ac:dyDescent="0.25">
      <c r="A29" s="16"/>
      <c r="B29" s="16"/>
      <c r="C29" s="20"/>
      <c r="D29" s="16"/>
      <c r="E29" s="16"/>
      <c r="F29" s="16"/>
      <c r="G29" s="21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22"/>
    </row>
    <row r="30" spans="1:104" x14ac:dyDescent="0.25">
      <c r="A30" s="16"/>
      <c r="B30" s="16"/>
      <c r="C30" s="20"/>
      <c r="D30" s="16"/>
      <c r="E30" s="16"/>
      <c r="F30" s="16"/>
      <c r="G30" s="21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22"/>
    </row>
    <row r="31" spans="1:104" x14ac:dyDescent="0.25">
      <c r="A31" s="16"/>
      <c r="B31" s="16"/>
      <c r="C31" s="20"/>
      <c r="D31" s="16"/>
      <c r="E31" s="16"/>
      <c r="F31" s="16"/>
      <c r="G31" s="21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22"/>
    </row>
    <row r="32" spans="1:104" x14ac:dyDescent="0.25">
      <c r="A32" s="16"/>
      <c r="B32" s="16"/>
      <c r="C32" s="20"/>
      <c r="D32" s="16"/>
      <c r="E32" s="16"/>
      <c r="F32" s="16"/>
      <c r="G32" s="21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22"/>
    </row>
    <row r="33" spans="1:104" x14ac:dyDescent="0.25">
      <c r="A33" s="16"/>
      <c r="B33" s="16"/>
      <c r="C33" s="20"/>
      <c r="D33" s="16"/>
      <c r="E33" s="16"/>
      <c r="F33" s="16"/>
      <c r="G33" s="21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22"/>
    </row>
    <row r="34" spans="1:104" x14ac:dyDescent="0.25">
      <c r="A34" s="16"/>
      <c r="B34" s="16"/>
      <c r="C34" s="20"/>
      <c r="D34" s="16"/>
      <c r="E34" s="16"/>
      <c r="F34" s="16"/>
      <c r="G34" s="21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22"/>
    </row>
    <row r="35" spans="1:104" x14ac:dyDescent="0.25">
      <c r="A35" s="16"/>
      <c r="B35" s="16"/>
      <c r="C35" s="20"/>
      <c r="D35" s="16"/>
      <c r="E35" s="16"/>
      <c r="F35" s="16"/>
      <c r="G35" s="21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22"/>
    </row>
    <row r="36" spans="1:104" x14ac:dyDescent="0.25">
      <c r="A36" s="16"/>
      <c r="B36" s="16"/>
      <c r="C36" s="20"/>
      <c r="D36" s="16"/>
      <c r="E36" s="16"/>
      <c r="F36" s="16"/>
      <c r="G36" s="21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22"/>
    </row>
    <row r="37" spans="1:104" x14ac:dyDescent="0.25">
      <c r="A37" s="16"/>
      <c r="B37" s="16"/>
      <c r="C37" s="20"/>
      <c r="D37" s="16"/>
      <c r="E37" s="16"/>
      <c r="F37" s="16"/>
      <c r="G37" s="21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22"/>
    </row>
    <row r="38" spans="1:104" x14ac:dyDescent="0.25">
      <c r="A38" s="16"/>
      <c r="B38" s="16"/>
      <c r="C38" s="20"/>
      <c r="D38" s="16"/>
      <c r="E38" s="16"/>
      <c r="F38" s="16"/>
      <c r="G38" s="21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22"/>
    </row>
    <row r="39" spans="1:104" x14ac:dyDescent="0.25">
      <c r="A39" s="16"/>
      <c r="B39" s="16"/>
      <c r="C39" s="20"/>
      <c r="D39" s="16"/>
      <c r="E39" s="16"/>
      <c r="F39" s="16"/>
      <c r="G39" s="21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22"/>
    </row>
    <row r="40" spans="1:104" x14ac:dyDescent="0.25">
      <c r="A40" s="16"/>
      <c r="B40" s="16"/>
      <c r="C40" s="20"/>
      <c r="D40" s="16"/>
      <c r="E40" s="16"/>
      <c r="F40" s="16"/>
      <c r="G40" s="21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22"/>
    </row>
  </sheetData>
  <mergeCells count="17">
    <mergeCell ref="BY4:CE4"/>
    <mergeCell ref="CF4:CL4"/>
    <mergeCell ref="CM4:CS4"/>
    <mergeCell ref="CT4:CZ4"/>
    <mergeCell ref="A2:E2"/>
    <mergeCell ref="AI4:AO4"/>
    <mergeCell ref="AP4:AV4"/>
    <mergeCell ref="AW4:BC4"/>
    <mergeCell ref="BD4:BJ4"/>
    <mergeCell ref="BK4:BQ4"/>
    <mergeCell ref="BR4:BX4"/>
    <mergeCell ref="D5:E5"/>
    <mergeCell ref="B5:C5"/>
    <mergeCell ref="G4:M4"/>
    <mergeCell ref="N4:T4"/>
    <mergeCell ref="U4:AA4"/>
    <mergeCell ref="AB4:AH4"/>
  </mergeCells>
  <conditionalFormatting sqref="C7:C40">
    <cfRule type="dataBar" priority="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{4693AAE6-A968-4577-8259-B5517147BD0B}</x14:id>
        </ext>
      </extLst>
    </cfRule>
  </conditionalFormatting>
  <conditionalFormatting sqref="G7:CZ16 G18:CZ40 G17:J17 L17:CZ17">
    <cfRule type="expression" dxfId="9" priority="2">
      <formula>AND(G$5&gt;=$D7, G$5&lt;=((($E7-$D7+1)*$C7)+$D7-1))</formula>
    </cfRule>
    <cfRule type="expression" dxfId="8" priority="3">
      <formula>AND(G$5&gt;=$D7, G$5&lt;=$E7)</formula>
    </cfRule>
  </conditionalFormatting>
  <conditionalFormatting sqref="G3">
    <cfRule type="expression" dxfId="7" priority="9">
      <formula>AND(K$5&gt;=$D17, K$5&lt;=((($E17-$D17+1)*$C17)+$D17-1))</formula>
    </cfRule>
    <cfRule type="expression" dxfId="6" priority="10">
      <formula>AND(K$5&gt;=$D17, K$5&lt;=$E17)</formula>
    </cfRule>
  </conditionalFormatting>
  <conditionalFormatting sqref="G7:CZ40">
    <cfRule type="expression" dxfId="5" priority="1">
      <formula>G$5=TODAY()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1</xdr:col>
                    <xdr:colOff>0</xdr:colOff>
                    <xdr:row>2</xdr:row>
                    <xdr:rowOff>171450</xdr:rowOff>
                  </from>
                  <to>
                    <xdr:col>5</xdr:col>
                    <xdr:colOff>0</xdr:colOff>
                    <xdr:row>3</xdr:row>
                    <xdr:rowOff>219075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93AAE6-A968-4577-8259-B5517147BD0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C7:C40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venieri</dc:creator>
  <cp:lastModifiedBy>gabriel venieri</cp:lastModifiedBy>
  <dcterms:created xsi:type="dcterms:W3CDTF">2026-04-12T01:05:52Z</dcterms:created>
  <dcterms:modified xsi:type="dcterms:W3CDTF">2026-04-12T03:33:23Z</dcterms:modified>
</cp:coreProperties>
</file>