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bry\Desktop\Facultad\2026\Proyecto Mecatronico\"/>
    </mc:Choice>
  </mc:AlternateContent>
  <bookViews>
    <workbookView xWindow="0" yWindow="0" windowWidth="23040" windowHeight="910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1" l="1"/>
  <c r="D30" i="1"/>
  <c r="D24" i="1"/>
  <c r="D16" i="1"/>
  <c r="D7" i="1"/>
  <c r="F4" i="1" l="1"/>
  <c r="H5" i="1" s="1"/>
  <c r="H4" i="1" l="1"/>
  <c r="H6" i="1"/>
  <c r="I5" i="1"/>
  <c r="I6" i="1" l="1"/>
  <c r="J5" i="1"/>
  <c r="J6" i="1" l="1"/>
  <c r="K5" i="1"/>
  <c r="K6" i="1" l="1"/>
  <c r="L5" i="1"/>
  <c r="M5" i="1" l="1"/>
  <c r="L6" i="1"/>
  <c r="M6" i="1" l="1"/>
  <c r="N5" i="1"/>
  <c r="N6" i="1" l="1"/>
  <c r="O5" i="1"/>
  <c r="O4" i="1" l="1"/>
  <c r="O6" i="1"/>
  <c r="P5" i="1"/>
  <c r="P6" i="1" l="1"/>
  <c r="Q5" i="1"/>
  <c r="Q6" i="1" l="1"/>
  <c r="R5" i="1"/>
  <c r="S5" i="1" l="1"/>
  <c r="R6" i="1"/>
  <c r="S6" i="1" l="1"/>
  <c r="T5" i="1"/>
  <c r="T6" i="1" l="1"/>
  <c r="U5" i="1"/>
  <c r="V5" i="1" l="1"/>
  <c r="U6" i="1"/>
  <c r="V6" i="1" l="1"/>
  <c r="V4" i="1"/>
  <c r="W5" i="1"/>
  <c r="W6" i="1" l="1"/>
  <c r="X5" i="1"/>
  <c r="Y5" i="1" l="1"/>
  <c r="X6" i="1"/>
  <c r="Z5" i="1" l="1"/>
  <c r="Y6" i="1"/>
  <c r="Z6" i="1" l="1"/>
  <c r="AA5" i="1"/>
  <c r="AA6" i="1" l="1"/>
  <c r="AB5" i="1"/>
  <c r="AB6" i="1" l="1"/>
  <c r="AC5" i="1"/>
  <c r="AC6" i="1" l="1"/>
  <c r="AC4" i="1"/>
  <c r="AD5" i="1"/>
  <c r="AE5" i="1" l="1"/>
  <c r="AD6" i="1"/>
  <c r="AF5" i="1" l="1"/>
  <c r="AE6" i="1"/>
  <c r="AG5" i="1" l="1"/>
  <c r="AF6" i="1"/>
  <c r="AH5" i="1" l="1"/>
  <c r="AG6" i="1"/>
  <c r="AI5" i="1" l="1"/>
  <c r="AH6" i="1"/>
  <c r="AI6" i="1" l="1"/>
  <c r="AJ5" i="1"/>
  <c r="AJ4" i="1" l="1"/>
  <c r="AJ6" i="1"/>
  <c r="AK5" i="1"/>
  <c r="AK6" i="1" l="1"/>
  <c r="AL5" i="1"/>
  <c r="AM5" i="1" l="1"/>
  <c r="AL6" i="1"/>
  <c r="AM6" i="1" l="1"/>
  <c r="AN5" i="1"/>
  <c r="AN6" i="1" l="1"/>
  <c r="AO5" i="1"/>
  <c r="AO6" i="1" l="1"/>
  <c r="AP5" i="1"/>
  <c r="AQ5" i="1" l="1"/>
  <c r="AP6" i="1"/>
  <c r="AR5" i="1" l="1"/>
  <c r="AQ6" i="1"/>
  <c r="AQ4" i="1"/>
  <c r="AR6" i="1" l="1"/>
  <c r="AS5" i="1"/>
  <c r="AS6" i="1" l="1"/>
  <c r="AT5" i="1"/>
  <c r="AU5" i="1" l="1"/>
  <c r="AT6" i="1"/>
  <c r="AV5" i="1" l="1"/>
  <c r="AU6" i="1"/>
  <c r="AV6" i="1" l="1"/>
  <c r="AW5" i="1"/>
  <c r="AX5" i="1" l="1"/>
  <c r="AW6" i="1"/>
  <c r="AY5" i="1" l="1"/>
  <c r="AX4" i="1"/>
  <c r="AX6" i="1"/>
  <c r="AY6" i="1" l="1"/>
  <c r="AZ5" i="1"/>
  <c r="BA5" i="1" l="1"/>
  <c r="AZ6" i="1"/>
  <c r="BA6" i="1" l="1"/>
  <c r="BB5" i="1"/>
  <c r="BC5" i="1" l="1"/>
  <c r="BB6" i="1"/>
  <c r="BC6" i="1" l="1"/>
  <c r="BD5" i="1"/>
  <c r="BD6" i="1" l="1"/>
  <c r="BE5" i="1"/>
  <c r="BF5" i="1" l="1"/>
  <c r="BE6" i="1"/>
  <c r="BE4" i="1"/>
  <c r="BF6" i="1" l="1"/>
  <c r="BG5" i="1"/>
  <c r="BG6" i="1" l="1"/>
  <c r="BH5" i="1"/>
  <c r="BI5" i="1" l="1"/>
  <c r="BH6" i="1"/>
  <c r="BJ5" i="1" l="1"/>
  <c r="BI6" i="1"/>
  <c r="BK5" i="1" l="1"/>
  <c r="BJ6" i="1"/>
  <c r="BL5" i="1" l="1"/>
  <c r="BK6" i="1"/>
  <c r="BM5" i="1" l="1"/>
  <c r="BL4" i="1"/>
  <c r="BL6" i="1"/>
  <c r="BM6" i="1" l="1"/>
  <c r="BN5" i="1"/>
  <c r="BO5" i="1" l="1"/>
  <c r="BN6" i="1"/>
  <c r="BP5" i="1" l="1"/>
  <c r="BO6" i="1"/>
  <c r="BP6" i="1" l="1"/>
  <c r="BQ5" i="1"/>
  <c r="BQ6" i="1" l="1"/>
  <c r="BR5" i="1"/>
  <c r="BS5" i="1" l="1"/>
  <c r="BR6" i="1"/>
  <c r="BT5" i="1" l="1"/>
  <c r="BS4" i="1"/>
  <c r="BS6" i="1"/>
  <c r="BU5" i="1" l="1"/>
  <c r="BT6" i="1"/>
  <c r="BU6" i="1" l="1"/>
  <c r="BV5" i="1"/>
  <c r="BV6" i="1" l="1"/>
  <c r="BW5" i="1"/>
  <c r="BW6" i="1" l="1"/>
  <c r="BX5" i="1"/>
  <c r="BX6" i="1" l="1"/>
  <c r="BY5" i="1"/>
  <c r="BY6" i="1" l="1"/>
  <c r="BZ5" i="1"/>
  <c r="BZ4" i="1" l="1"/>
  <c r="CA5" i="1"/>
  <c r="BZ6" i="1"/>
  <c r="CA6" i="1" l="1"/>
  <c r="CB5" i="1"/>
  <c r="CC5" i="1" l="1"/>
  <c r="CB6" i="1"/>
  <c r="CD5" i="1" l="1"/>
  <c r="CC6" i="1"/>
  <c r="CD6" i="1" l="1"/>
  <c r="CE5" i="1"/>
  <c r="CF5" i="1" l="1"/>
  <c r="CE6" i="1"/>
  <c r="CF6" i="1" l="1"/>
</calcChain>
</file>

<file path=xl/sharedStrings.xml><?xml version="1.0" encoding="utf-8"?>
<sst xmlns="http://schemas.openxmlformats.org/spreadsheetml/2006/main" count="60" uniqueCount="42">
  <si>
    <t>TAREA</t>
  </si>
  <si>
    <t>RESPONSABLE</t>
  </si>
  <si>
    <t>PROGRESO</t>
  </si>
  <si>
    <t>INICIO</t>
  </si>
  <si>
    <t>FIN</t>
  </si>
  <si>
    <t>Persona X</t>
  </si>
  <si>
    <t>INICIO DEL PROYECTO</t>
  </si>
  <si>
    <t>ROBOT PODADOR - Sanchez, Venieri</t>
  </si>
  <si>
    <t>FASE 1 - ALCANCE, ANÁLISIS Y PROPUESTA</t>
  </si>
  <si>
    <t>1.1. Definir proyecto</t>
  </si>
  <si>
    <t>Ambos</t>
  </si>
  <si>
    <t>1.2 Funciones y capacidades</t>
  </si>
  <si>
    <t>1.3 Propuesta inicial y final</t>
  </si>
  <si>
    <t>1.4 Análisis de viabilidad técnica y riesgos</t>
  </si>
  <si>
    <t>1.5 Requerimientos no funcionales</t>
  </si>
  <si>
    <t>1.6 Selección preliminar de tecnologías</t>
  </si>
  <si>
    <t>1.7 Estructura del proyecto y roles</t>
  </si>
  <si>
    <t>1.8 Planificacion del cronograma</t>
  </si>
  <si>
    <t>FASE 2 - DISEÑO CONCEPTUAL</t>
  </si>
  <si>
    <t>2.1 Diseño del mecanismo de trepado</t>
  </si>
  <si>
    <t>2.2 Diseño del sistema de navegación</t>
  </si>
  <si>
    <t>2.3 Diseño del sistema de poda</t>
  </si>
  <si>
    <t>2.4 Arquitectura preliminar</t>
  </si>
  <si>
    <t>2.5 Diseño del flujo de autonomía</t>
  </si>
  <si>
    <t>2.6 Bocetos y diagramas conceptuales</t>
  </si>
  <si>
    <t>2.7 Validacion conceptual</t>
  </si>
  <si>
    <t>FASE 3 - MODELADO CAD Y SIMULACION</t>
  </si>
  <si>
    <t>3.1 Modelado CAD</t>
  </si>
  <si>
    <t>3.2 Ensamble general del robot</t>
  </si>
  <si>
    <t>3.3 Simulacion estructural (FEA)</t>
  </si>
  <si>
    <t>3.4 Simulacion de movimiento</t>
  </si>
  <si>
    <t>3.5 Ajustes finales del CAD</t>
  </si>
  <si>
    <t>FASE 4 - MODELADO CAD Y SIMULACION</t>
  </si>
  <si>
    <t>4.1 Fabricación de piezas mecánicas</t>
  </si>
  <si>
    <t>4.2 Compra y preparacion de componentes</t>
  </si>
  <si>
    <t>4.3 Pruebas de encastre y tolerancia</t>
  </si>
  <si>
    <t>4.4 Ensamble mecánico del robot</t>
  </si>
  <si>
    <t>4.5 Integración electrónica y programacion</t>
  </si>
  <si>
    <t>4.6 Ajustes</t>
  </si>
  <si>
    <t>FASE 5 - INTEGRACION DE SOFTWARE Y PRUEBAS REALES</t>
  </si>
  <si>
    <t>5.2 Calibracion y prueba final</t>
  </si>
  <si>
    <t>5.1 Integracion final del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</si>
</sst>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;@"/>
    <numFmt numFmtId="165" formatCode="dd"/>
    <numFmt numFmtId="167" formatCode="ddd\,\ dd/mm/yyyy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theme="0" tint="-0.2499465926084170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3" fillId="3" borderId="4" xfId="0" applyNumberFormat="1" applyFont="1" applyFill="1" applyBorder="1" applyAlignment="1">
      <alignment horizontal="center" vertical="center"/>
    </xf>
    <xf numFmtId="165" fontId="3" fillId="3" borderId="0" xfId="0" applyNumberFormat="1" applyFont="1" applyFill="1" applyBorder="1" applyAlignment="1">
      <alignment horizontal="center" vertical="center"/>
    </xf>
    <xf numFmtId="165" fontId="3" fillId="3" borderId="5" xfId="0" applyNumberFormat="1" applyFont="1" applyFill="1" applyBorder="1" applyAlignment="1">
      <alignment horizontal="center" vertical="center"/>
    </xf>
    <xf numFmtId="0" fontId="0" fillId="0" borderId="6" xfId="0" applyBorder="1"/>
    <xf numFmtId="9" fontId="0" fillId="0" borderId="6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9" fontId="0" fillId="7" borderId="6" xfId="0" applyNumberFormat="1" applyFill="1" applyBorder="1" applyAlignment="1">
      <alignment horizontal="center" vertical="center"/>
    </xf>
    <xf numFmtId="164" fontId="0" fillId="7" borderId="6" xfId="0" applyNumberForma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64" fontId="0" fillId="8" borderId="6" xfId="0" applyNumberForma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167" fontId="4" fillId="2" borderId="2" xfId="0" applyNumberFormat="1" applyFont="1" applyFill="1" applyBorder="1" applyAlignment="1">
      <alignment horizontal="center" vertical="center"/>
    </xf>
    <xf numFmtId="167" fontId="4" fillId="2" borderId="3" xfId="0" applyNumberFormat="1" applyFont="1" applyFill="1" applyBorder="1" applyAlignment="1">
      <alignment horizontal="center" vertical="center"/>
    </xf>
    <xf numFmtId="165" fontId="3" fillId="6" borderId="0" xfId="0" applyNumberFormat="1" applyFont="1" applyFill="1" applyBorder="1" applyAlignment="1">
      <alignment horizontal="center" vertical="center"/>
    </xf>
    <xf numFmtId="165" fontId="3" fillId="6" borderId="5" xfId="0" applyNumberFormat="1" applyFont="1" applyFill="1" applyBorder="1" applyAlignment="1">
      <alignment horizontal="center" vertical="center"/>
    </xf>
    <xf numFmtId="165" fontId="3" fillId="6" borderId="4" xfId="0" applyNumberFormat="1" applyFont="1" applyFill="1" applyBorder="1" applyAlignment="1">
      <alignment horizontal="center" vertical="center"/>
    </xf>
    <xf numFmtId="165" fontId="3" fillId="5" borderId="4" xfId="0" applyNumberFormat="1" applyFont="1" applyFill="1" applyBorder="1" applyAlignment="1">
      <alignment horizontal="center" vertical="center"/>
    </xf>
    <xf numFmtId="165" fontId="3" fillId="5" borderId="0" xfId="0" applyNumberFormat="1" applyFont="1" applyFill="1" applyBorder="1" applyAlignment="1">
      <alignment horizontal="center" vertical="center"/>
    </xf>
    <xf numFmtId="165" fontId="3" fillId="5" borderId="5" xfId="0" applyNumberFormat="1" applyFont="1" applyFill="1" applyBorder="1" applyAlignment="1">
      <alignment horizontal="center" vertical="center"/>
    </xf>
    <xf numFmtId="0" fontId="0" fillId="0" borderId="7" xfId="0" applyBorder="1"/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2" xfId="0" applyBorder="1"/>
    <xf numFmtId="0" fontId="0" fillId="0" borderId="0" xfId="0" applyBorder="1" applyAlignment="1">
      <alignment horizontal="center"/>
    </xf>
    <xf numFmtId="14" fontId="0" fillId="0" borderId="5" xfId="0" applyNumberForma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0" fillId="7" borderId="11" xfId="0" applyNumberFormat="1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64" fontId="0" fillId="8" borderId="11" xfId="0" applyNumberForma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2" borderId="14" xfId="0" applyFont="1" applyFill="1" applyBorder="1" applyAlignment="1">
      <alignment horizontal="center" vertical="center"/>
    </xf>
    <xf numFmtId="0" fontId="2" fillId="7" borderId="15" xfId="0" applyFont="1" applyFill="1" applyBorder="1"/>
    <xf numFmtId="0" fontId="5" fillId="0" borderId="0" xfId="0" applyFont="1" applyAlignment="1">
      <alignment horizontal="left"/>
    </xf>
  </cellXfs>
  <cellStyles count="1">
    <cellStyle name="Normal" xfId="0" builtinId="0"/>
  </cellStyles>
  <dxfs count="5">
    <dxf>
      <fill>
        <patternFill patternType="none">
          <bgColor auto="1"/>
        </patternFill>
      </fill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croll" dx="22" fmlaLink="$E$4" horiz="1" max="98" page="10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171450</xdr:rowOff>
        </xdr:from>
        <xdr:to>
          <xdr:col>6</xdr:col>
          <xdr:colOff>0</xdr:colOff>
          <xdr:row>3</xdr:row>
          <xdr:rowOff>219075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CF40"/>
  <sheetViews>
    <sheetView showGridLines="0" tabSelected="1" workbookViewId="0">
      <pane ySplit="6" topLeftCell="A7" activePane="bottomLeft" state="frozen"/>
      <selection pane="bottomLeft" activeCell="L21" sqref="L21"/>
    </sheetView>
  </sheetViews>
  <sheetFormatPr baseColWidth="10" defaultRowHeight="15" x14ac:dyDescent="0.25"/>
  <cols>
    <col min="1" max="1" width="1.42578125" customWidth="1"/>
    <col min="2" max="2" width="37.42578125" customWidth="1"/>
    <col min="3" max="3" width="15.7109375" customWidth="1"/>
    <col min="4" max="4" width="11.42578125" style="1"/>
    <col min="7" max="7" width="1.140625" customWidth="1"/>
    <col min="8" max="84" width="4.7109375" customWidth="1"/>
  </cols>
  <sheetData>
    <row r="2" spans="2:84" ht="15.75" x14ac:dyDescent="0.25">
      <c r="B2" s="49" t="s">
        <v>7</v>
      </c>
      <c r="C2" s="49"/>
      <c r="D2" s="49"/>
      <c r="E2" s="49"/>
      <c r="F2" s="49"/>
    </row>
    <row r="3" spans="2:84" ht="14.25" customHeight="1" x14ac:dyDescent="0.25">
      <c r="H3" s="6"/>
    </row>
    <row r="4" spans="2:84" ht="18" customHeight="1" x14ac:dyDescent="0.25">
      <c r="E4" s="32">
        <v>0</v>
      </c>
      <c r="F4" s="33">
        <f>E5+E4</f>
        <v>46097</v>
      </c>
      <c r="H4" s="15">
        <f>H5</f>
        <v>46097</v>
      </c>
      <c r="I4" s="16"/>
      <c r="J4" s="16"/>
      <c r="K4" s="16"/>
      <c r="L4" s="16"/>
      <c r="M4" s="16"/>
      <c r="N4" s="17"/>
      <c r="O4" s="15">
        <f>O5</f>
        <v>46104</v>
      </c>
      <c r="P4" s="16"/>
      <c r="Q4" s="16"/>
      <c r="R4" s="16"/>
      <c r="S4" s="16"/>
      <c r="T4" s="16"/>
      <c r="U4" s="17"/>
      <c r="V4" s="15">
        <f t="shared" ref="V4" si="0">V5</f>
        <v>46111</v>
      </c>
      <c r="W4" s="16"/>
      <c r="X4" s="16"/>
      <c r="Y4" s="16"/>
      <c r="Z4" s="16"/>
      <c r="AA4" s="16"/>
      <c r="AB4" s="17"/>
      <c r="AC4" s="15">
        <f t="shared" ref="AC4" si="1">AC5</f>
        <v>46118</v>
      </c>
      <c r="AD4" s="16"/>
      <c r="AE4" s="16"/>
      <c r="AF4" s="16"/>
      <c r="AG4" s="16"/>
      <c r="AH4" s="16"/>
      <c r="AI4" s="17"/>
      <c r="AJ4" s="15">
        <f t="shared" ref="AJ4" si="2">AJ5</f>
        <v>46125</v>
      </c>
      <c r="AK4" s="16"/>
      <c r="AL4" s="16"/>
      <c r="AM4" s="16"/>
      <c r="AN4" s="16"/>
      <c r="AO4" s="16"/>
      <c r="AP4" s="17"/>
      <c r="AQ4" s="15">
        <f t="shared" ref="AQ4" si="3">AQ5</f>
        <v>46132</v>
      </c>
      <c r="AR4" s="16"/>
      <c r="AS4" s="16"/>
      <c r="AT4" s="16"/>
      <c r="AU4" s="16"/>
      <c r="AV4" s="16"/>
      <c r="AW4" s="17"/>
      <c r="AX4" s="15">
        <f t="shared" ref="AX4" si="4">AX5</f>
        <v>46139</v>
      </c>
      <c r="AY4" s="16"/>
      <c r="AZ4" s="16"/>
      <c r="BA4" s="16"/>
      <c r="BB4" s="16"/>
      <c r="BC4" s="16"/>
      <c r="BD4" s="17"/>
      <c r="BE4" s="15">
        <f t="shared" ref="BE4" si="5">BE5</f>
        <v>46146</v>
      </c>
      <c r="BF4" s="16"/>
      <c r="BG4" s="16"/>
      <c r="BH4" s="16"/>
      <c r="BI4" s="16"/>
      <c r="BJ4" s="16"/>
      <c r="BK4" s="17"/>
      <c r="BL4" s="15">
        <f t="shared" ref="BL4" si="6">BL5</f>
        <v>46153</v>
      </c>
      <c r="BM4" s="16"/>
      <c r="BN4" s="16"/>
      <c r="BO4" s="16"/>
      <c r="BP4" s="16"/>
      <c r="BQ4" s="16"/>
      <c r="BR4" s="17"/>
      <c r="BS4" s="15">
        <f t="shared" ref="BS4" si="7">BS5</f>
        <v>46160</v>
      </c>
      <c r="BT4" s="16"/>
      <c r="BU4" s="16"/>
      <c r="BV4" s="16"/>
      <c r="BW4" s="16"/>
      <c r="BX4" s="16"/>
      <c r="BY4" s="17"/>
      <c r="BZ4" s="15">
        <f t="shared" ref="BZ4" si="8">BZ5</f>
        <v>46167</v>
      </c>
      <c r="CA4" s="16"/>
      <c r="CB4" s="16"/>
      <c r="CC4" s="16"/>
      <c r="CD4" s="16"/>
      <c r="CE4" s="16"/>
      <c r="CF4" s="17"/>
    </row>
    <row r="5" spans="2:84" x14ac:dyDescent="0.25">
      <c r="C5" s="42" t="s">
        <v>6</v>
      </c>
      <c r="D5" s="39"/>
      <c r="E5" s="40">
        <v>46097</v>
      </c>
      <c r="F5" s="41"/>
      <c r="H5" s="3">
        <f>F4</f>
        <v>46097</v>
      </c>
      <c r="I5" s="4">
        <f>H5+1</f>
        <v>46098</v>
      </c>
      <c r="J5" s="4">
        <f>I5+1</f>
        <v>46099</v>
      </c>
      <c r="K5" s="4">
        <f t="shared" ref="K5:BV5" si="9">J5+1</f>
        <v>46100</v>
      </c>
      <c r="L5" s="4">
        <f t="shared" si="9"/>
        <v>46101</v>
      </c>
      <c r="M5" s="4">
        <f t="shared" si="9"/>
        <v>46102</v>
      </c>
      <c r="N5" s="5">
        <f t="shared" si="9"/>
        <v>46103</v>
      </c>
      <c r="O5" s="3">
        <f t="shared" si="9"/>
        <v>46104</v>
      </c>
      <c r="P5" s="4">
        <f t="shared" si="9"/>
        <v>46105</v>
      </c>
      <c r="Q5" s="4">
        <f t="shared" si="9"/>
        <v>46106</v>
      </c>
      <c r="R5" s="4">
        <f t="shared" si="9"/>
        <v>46107</v>
      </c>
      <c r="S5" s="4">
        <f t="shared" si="9"/>
        <v>46108</v>
      </c>
      <c r="T5" s="4">
        <f t="shared" si="9"/>
        <v>46109</v>
      </c>
      <c r="U5" s="5">
        <f t="shared" si="9"/>
        <v>46110</v>
      </c>
      <c r="V5" s="3">
        <f t="shared" si="9"/>
        <v>46111</v>
      </c>
      <c r="W5" s="4">
        <f t="shared" si="9"/>
        <v>46112</v>
      </c>
      <c r="X5" s="4">
        <f t="shared" si="9"/>
        <v>46113</v>
      </c>
      <c r="Y5" s="4">
        <f t="shared" si="9"/>
        <v>46114</v>
      </c>
      <c r="Z5" s="18">
        <f t="shared" si="9"/>
        <v>46115</v>
      </c>
      <c r="AA5" s="18">
        <f t="shared" si="9"/>
        <v>46116</v>
      </c>
      <c r="AB5" s="19">
        <f t="shared" si="9"/>
        <v>46117</v>
      </c>
      <c r="AC5" s="20">
        <f t="shared" si="9"/>
        <v>46118</v>
      </c>
      <c r="AD5" s="18">
        <f t="shared" si="9"/>
        <v>46119</v>
      </c>
      <c r="AE5" s="18">
        <f t="shared" si="9"/>
        <v>46120</v>
      </c>
      <c r="AF5" s="18">
        <f t="shared" si="9"/>
        <v>46121</v>
      </c>
      <c r="AG5" s="18">
        <f t="shared" si="9"/>
        <v>46122</v>
      </c>
      <c r="AH5" s="18">
        <f t="shared" si="9"/>
        <v>46123</v>
      </c>
      <c r="AI5" s="19">
        <f t="shared" si="9"/>
        <v>46124</v>
      </c>
      <c r="AJ5" s="20">
        <f t="shared" si="9"/>
        <v>46125</v>
      </c>
      <c r="AK5" s="18">
        <f t="shared" si="9"/>
        <v>46126</v>
      </c>
      <c r="AL5" s="18">
        <f t="shared" si="9"/>
        <v>46127</v>
      </c>
      <c r="AM5" s="18">
        <f t="shared" si="9"/>
        <v>46128</v>
      </c>
      <c r="AN5" s="18">
        <f t="shared" si="9"/>
        <v>46129</v>
      </c>
      <c r="AO5" s="18">
        <f t="shared" si="9"/>
        <v>46130</v>
      </c>
      <c r="AP5" s="19">
        <f t="shared" si="9"/>
        <v>46131</v>
      </c>
      <c r="AQ5" s="20">
        <f t="shared" si="9"/>
        <v>46132</v>
      </c>
      <c r="AR5" s="18">
        <f t="shared" si="9"/>
        <v>46133</v>
      </c>
      <c r="AS5" s="18">
        <f t="shared" si="9"/>
        <v>46134</v>
      </c>
      <c r="AT5" s="18">
        <f t="shared" si="9"/>
        <v>46135</v>
      </c>
      <c r="AU5" s="18">
        <f t="shared" si="9"/>
        <v>46136</v>
      </c>
      <c r="AV5" s="18">
        <f t="shared" si="9"/>
        <v>46137</v>
      </c>
      <c r="AW5" s="19">
        <f t="shared" si="9"/>
        <v>46138</v>
      </c>
      <c r="AX5" s="20">
        <f t="shared" si="9"/>
        <v>46139</v>
      </c>
      <c r="AY5" s="18">
        <f t="shared" si="9"/>
        <v>46140</v>
      </c>
      <c r="AZ5" s="18">
        <f t="shared" si="9"/>
        <v>46141</v>
      </c>
      <c r="BA5" s="18">
        <f t="shared" si="9"/>
        <v>46142</v>
      </c>
      <c r="BB5" s="18">
        <f t="shared" si="9"/>
        <v>46143</v>
      </c>
      <c r="BC5" s="18">
        <f t="shared" si="9"/>
        <v>46144</v>
      </c>
      <c r="BD5" s="19">
        <f t="shared" si="9"/>
        <v>46145</v>
      </c>
      <c r="BE5" s="21">
        <f t="shared" si="9"/>
        <v>46146</v>
      </c>
      <c r="BF5" s="22">
        <f t="shared" si="9"/>
        <v>46147</v>
      </c>
      <c r="BG5" s="22">
        <f t="shared" si="9"/>
        <v>46148</v>
      </c>
      <c r="BH5" s="22">
        <f t="shared" si="9"/>
        <v>46149</v>
      </c>
      <c r="BI5" s="22">
        <f t="shared" si="9"/>
        <v>46150</v>
      </c>
      <c r="BJ5" s="22">
        <f t="shared" si="9"/>
        <v>46151</v>
      </c>
      <c r="BK5" s="23">
        <f t="shared" si="9"/>
        <v>46152</v>
      </c>
      <c r="BL5" s="21">
        <f t="shared" si="9"/>
        <v>46153</v>
      </c>
      <c r="BM5" s="22">
        <f t="shared" si="9"/>
        <v>46154</v>
      </c>
      <c r="BN5" s="22">
        <f t="shared" si="9"/>
        <v>46155</v>
      </c>
      <c r="BO5" s="22">
        <f t="shared" si="9"/>
        <v>46156</v>
      </c>
      <c r="BP5" s="22">
        <f t="shared" si="9"/>
        <v>46157</v>
      </c>
      <c r="BQ5" s="22">
        <f t="shared" si="9"/>
        <v>46158</v>
      </c>
      <c r="BR5" s="23">
        <f t="shared" si="9"/>
        <v>46159</v>
      </c>
      <c r="BS5" s="21">
        <f t="shared" si="9"/>
        <v>46160</v>
      </c>
      <c r="BT5" s="22">
        <f t="shared" si="9"/>
        <v>46161</v>
      </c>
      <c r="BU5" s="22">
        <f t="shared" si="9"/>
        <v>46162</v>
      </c>
      <c r="BV5" s="22">
        <f t="shared" si="9"/>
        <v>46163</v>
      </c>
      <c r="BW5" s="22">
        <f t="shared" ref="BW5:CF5" si="10">BV5+1</f>
        <v>46164</v>
      </c>
      <c r="BX5" s="22">
        <f t="shared" si="10"/>
        <v>46165</v>
      </c>
      <c r="BY5" s="23">
        <f t="shared" si="10"/>
        <v>46166</v>
      </c>
      <c r="BZ5" s="21">
        <f t="shared" si="10"/>
        <v>46167</v>
      </c>
      <c r="CA5" s="22">
        <f t="shared" si="10"/>
        <v>46168</v>
      </c>
      <c r="CB5" s="22">
        <f t="shared" si="10"/>
        <v>46169</v>
      </c>
      <c r="CC5" s="22">
        <f t="shared" si="10"/>
        <v>46170</v>
      </c>
      <c r="CD5" s="22">
        <f t="shared" si="10"/>
        <v>46171</v>
      </c>
      <c r="CE5" s="22">
        <f t="shared" si="10"/>
        <v>46172</v>
      </c>
      <c r="CF5" s="23">
        <f t="shared" si="10"/>
        <v>46173</v>
      </c>
    </row>
    <row r="6" spans="2:84" x14ac:dyDescent="0.25">
      <c r="B6" s="47" t="s">
        <v>0</v>
      </c>
      <c r="C6" s="2" t="s">
        <v>1</v>
      </c>
      <c r="D6" s="2" t="s">
        <v>2</v>
      </c>
      <c r="E6" s="2" t="s">
        <v>3</v>
      </c>
      <c r="F6" s="34" t="s">
        <v>4</v>
      </c>
      <c r="G6" s="46"/>
      <c r="H6" s="25" t="str">
        <f>(UPPER(LEFT(TEXT(H5,"DDD"),1)))</f>
        <v>L</v>
      </c>
      <c r="I6" s="25" t="str">
        <f t="shared" ref="I6:BT6" si="11">(UPPER(LEFT(TEXT(I5,"DDD"))))</f>
        <v>M</v>
      </c>
      <c r="J6" s="25" t="str">
        <f t="shared" si="11"/>
        <v>M</v>
      </c>
      <c r="K6" s="25" t="str">
        <f t="shared" si="11"/>
        <v>J</v>
      </c>
      <c r="L6" s="25" t="str">
        <f t="shared" si="11"/>
        <v>V</v>
      </c>
      <c r="M6" s="25" t="str">
        <f t="shared" si="11"/>
        <v>S</v>
      </c>
      <c r="N6" s="25" t="str">
        <f t="shared" si="11"/>
        <v>D</v>
      </c>
      <c r="O6" s="25" t="str">
        <f t="shared" si="11"/>
        <v>L</v>
      </c>
      <c r="P6" s="25" t="str">
        <f t="shared" si="11"/>
        <v>M</v>
      </c>
      <c r="Q6" s="25" t="str">
        <f t="shared" si="11"/>
        <v>M</v>
      </c>
      <c r="R6" s="25" t="str">
        <f t="shared" si="11"/>
        <v>J</v>
      </c>
      <c r="S6" s="25" t="str">
        <f t="shared" si="11"/>
        <v>V</v>
      </c>
      <c r="T6" s="25" t="str">
        <f t="shared" si="11"/>
        <v>S</v>
      </c>
      <c r="U6" s="25" t="str">
        <f t="shared" si="11"/>
        <v>D</v>
      </c>
      <c r="V6" s="25" t="str">
        <f t="shared" si="11"/>
        <v>L</v>
      </c>
      <c r="W6" s="25" t="str">
        <f t="shared" si="11"/>
        <v>M</v>
      </c>
      <c r="X6" s="25" t="str">
        <f t="shared" si="11"/>
        <v>M</v>
      </c>
      <c r="Y6" s="25" t="str">
        <f t="shared" si="11"/>
        <v>J</v>
      </c>
      <c r="Z6" s="25" t="str">
        <f t="shared" si="11"/>
        <v>V</v>
      </c>
      <c r="AA6" s="25" t="str">
        <f t="shared" si="11"/>
        <v>S</v>
      </c>
      <c r="AB6" s="26" t="str">
        <f t="shared" si="11"/>
        <v>D</v>
      </c>
      <c r="AC6" s="25" t="str">
        <f t="shared" si="11"/>
        <v>L</v>
      </c>
      <c r="AD6" s="25" t="str">
        <f t="shared" si="11"/>
        <v>M</v>
      </c>
      <c r="AE6" s="25" t="str">
        <f t="shared" si="11"/>
        <v>M</v>
      </c>
      <c r="AF6" s="25" t="str">
        <f t="shared" si="11"/>
        <v>J</v>
      </c>
      <c r="AG6" s="25" t="str">
        <f t="shared" si="11"/>
        <v>V</v>
      </c>
      <c r="AH6" s="25" t="str">
        <f t="shared" si="11"/>
        <v>S</v>
      </c>
      <c r="AI6" s="26" t="str">
        <f t="shared" si="11"/>
        <v>D</v>
      </c>
      <c r="AJ6" s="25" t="str">
        <f t="shared" si="11"/>
        <v>L</v>
      </c>
      <c r="AK6" s="25" t="str">
        <f t="shared" si="11"/>
        <v>M</v>
      </c>
      <c r="AL6" s="25" t="str">
        <f t="shared" si="11"/>
        <v>M</v>
      </c>
      <c r="AM6" s="25" t="str">
        <f t="shared" si="11"/>
        <v>J</v>
      </c>
      <c r="AN6" s="25" t="str">
        <f t="shared" si="11"/>
        <v>V</v>
      </c>
      <c r="AO6" s="25" t="str">
        <f t="shared" si="11"/>
        <v>S</v>
      </c>
      <c r="AP6" s="26" t="str">
        <f t="shared" si="11"/>
        <v>D</v>
      </c>
      <c r="AQ6" s="25" t="str">
        <f t="shared" si="11"/>
        <v>L</v>
      </c>
      <c r="AR6" s="25" t="str">
        <f t="shared" si="11"/>
        <v>M</v>
      </c>
      <c r="AS6" s="25" t="str">
        <f t="shared" si="11"/>
        <v>M</v>
      </c>
      <c r="AT6" s="25" t="str">
        <f t="shared" si="11"/>
        <v>J</v>
      </c>
      <c r="AU6" s="25" t="str">
        <f t="shared" si="11"/>
        <v>V</v>
      </c>
      <c r="AV6" s="25" t="str">
        <f t="shared" si="11"/>
        <v>S</v>
      </c>
      <c r="AW6" s="26" t="str">
        <f t="shared" si="11"/>
        <v>D</v>
      </c>
      <c r="AX6" s="25" t="str">
        <f t="shared" si="11"/>
        <v>L</v>
      </c>
      <c r="AY6" s="25" t="str">
        <f t="shared" si="11"/>
        <v>M</v>
      </c>
      <c r="AZ6" s="25" t="str">
        <f t="shared" si="11"/>
        <v>M</v>
      </c>
      <c r="BA6" s="25" t="str">
        <f t="shared" si="11"/>
        <v>J</v>
      </c>
      <c r="BB6" s="25" t="str">
        <f t="shared" si="11"/>
        <v>V</v>
      </c>
      <c r="BC6" s="25" t="str">
        <f t="shared" si="11"/>
        <v>S</v>
      </c>
      <c r="BD6" s="26" t="str">
        <f t="shared" si="11"/>
        <v>D</v>
      </c>
      <c r="BE6" s="25" t="str">
        <f t="shared" si="11"/>
        <v>L</v>
      </c>
      <c r="BF6" s="25" t="str">
        <f t="shared" si="11"/>
        <v>M</v>
      </c>
      <c r="BG6" s="25" t="str">
        <f t="shared" si="11"/>
        <v>M</v>
      </c>
      <c r="BH6" s="25" t="str">
        <f t="shared" si="11"/>
        <v>J</v>
      </c>
      <c r="BI6" s="25" t="str">
        <f t="shared" si="11"/>
        <v>V</v>
      </c>
      <c r="BJ6" s="25" t="str">
        <f t="shared" si="11"/>
        <v>S</v>
      </c>
      <c r="BK6" s="26" t="str">
        <f t="shared" si="11"/>
        <v>D</v>
      </c>
      <c r="BL6" s="25" t="str">
        <f t="shared" si="11"/>
        <v>L</v>
      </c>
      <c r="BM6" s="25" t="str">
        <f t="shared" si="11"/>
        <v>M</v>
      </c>
      <c r="BN6" s="25" t="str">
        <f t="shared" si="11"/>
        <v>M</v>
      </c>
      <c r="BO6" s="25" t="str">
        <f t="shared" si="11"/>
        <v>J</v>
      </c>
      <c r="BP6" s="25" t="str">
        <f t="shared" si="11"/>
        <v>V</v>
      </c>
      <c r="BQ6" s="25" t="str">
        <f t="shared" si="11"/>
        <v>S</v>
      </c>
      <c r="BR6" s="26" t="str">
        <f t="shared" si="11"/>
        <v>D</v>
      </c>
      <c r="BS6" s="25" t="str">
        <f t="shared" si="11"/>
        <v>L</v>
      </c>
      <c r="BT6" s="25" t="str">
        <f t="shared" si="11"/>
        <v>M</v>
      </c>
      <c r="BU6" s="25" t="str">
        <f t="shared" ref="BU6:CF6" si="12">(UPPER(LEFT(TEXT(BU5,"DDD"))))</f>
        <v>M</v>
      </c>
      <c r="BV6" s="25" t="str">
        <f t="shared" si="12"/>
        <v>J</v>
      </c>
      <c r="BW6" s="25" t="str">
        <f t="shared" si="12"/>
        <v>V</v>
      </c>
      <c r="BX6" s="25" t="str">
        <f t="shared" si="12"/>
        <v>S</v>
      </c>
      <c r="BY6" s="26" t="str">
        <f t="shared" si="12"/>
        <v>D</v>
      </c>
      <c r="BZ6" s="25" t="str">
        <f t="shared" si="12"/>
        <v>L</v>
      </c>
      <c r="CA6" s="25" t="str">
        <f t="shared" si="12"/>
        <v>M</v>
      </c>
      <c r="CB6" s="25" t="str">
        <f t="shared" si="12"/>
        <v>M</v>
      </c>
      <c r="CC6" s="25" t="str">
        <f t="shared" si="12"/>
        <v>J</v>
      </c>
      <c r="CD6" s="25" t="str">
        <f t="shared" si="12"/>
        <v>V</v>
      </c>
      <c r="CE6" s="25" t="str">
        <f t="shared" si="12"/>
        <v>S</v>
      </c>
      <c r="CF6" s="26" t="str">
        <f t="shared" si="12"/>
        <v>D</v>
      </c>
    </row>
    <row r="7" spans="2:84" x14ac:dyDescent="0.25">
      <c r="B7" s="48" t="s">
        <v>8</v>
      </c>
      <c r="C7" s="10"/>
      <c r="D7" s="11">
        <f>SUM(D8:D15)/8</f>
        <v>0.3125</v>
      </c>
      <c r="E7" s="12">
        <v>46097</v>
      </c>
      <c r="F7" s="35">
        <v>46135</v>
      </c>
      <c r="G7" s="46"/>
      <c r="H7" s="43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7"/>
    </row>
    <row r="8" spans="2:84" x14ac:dyDescent="0.25">
      <c r="B8" s="44" t="s">
        <v>9</v>
      </c>
      <c r="C8" s="9" t="s">
        <v>10</v>
      </c>
      <c r="D8" s="7">
        <v>1</v>
      </c>
      <c r="E8" s="8">
        <v>46097</v>
      </c>
      <c r="F8" s="36">
        <v>46111</v>
      </c>
      <c r="G8" s="46"/>
      <c r="H8" s="4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28"/>
    </row>
    <row r="9" spans="2:84" x14ac:dyDescent="0.25">
      <c r="B9" s="44" t="s">
        <v>11</v>
      </c>
      <c r="C9" s="9" t="s">
        <v>10</v>
      </c>
      <c r="D9" s="7">
        <v>1</v>
      </c>
      <c r="E9" s="8">
        <v>46111</v>
      </c>
      <c r="F9" s="36">
        <v>46118</v>
      </c>
      <c r="G9" s="46"/>
      <c r="H9" s="4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28"/>
    </row>
    <row r="10" spans="2:84" x14ac:dyDescent="0.25">
      <c r="B10" s="44" t="s">
        <v>12</v>
      </c>
      <c r="C10" s="9" t="s">
        <v>10</v>
      </c>
      <c r="D10" s="7">
        <v>0.5</v>
      </c>
      <c r="E10" s="8">
        <v>46118</v>
      </c>
      <c r="F10" s="36">
        <v>46128</v>
      </c>
      <c r="G10" s="46"/>
      <c r="H10" s="4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28"/>
    </row>
    <row r="11" spans="2:84" x14ac:dyDescent="0.25">
      <c r="B11" s="44" t="s">
        <v>13</v>
      </c>
      <c r="C11" s="9" t="s">
        <v>10</v>
      </c>
      <c r="D11" s="7">
        <v>0</v>
      </c>
      <c r="E11" s="8">
        <v>46128</v>
      </c>
      <c r="F11" s="36">
        <v>46132</v>
      </c>
      <c r="G11" s="46"/>
      <c r="H11" s="4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28"/>
    </row>
    <row r="12" spans="2:84" x14ac:dyDescent="0.25">
      <c r="B12" s="44" t="s">
        <v>14</v>
      </c>
      <c r="C12" s="9" t="s">
        <v>10</v>
      </c>
      <c r="D12" s="7">
        <v>0</v>
      </c>
      <c r="E12" s="8">
        <v>46132</v>
      </c>
      <c r="F12" s="36">
        <v>46135</v>
      </c>
      <c r="G12" s="46"/>
      <c r="H12" s="44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28"/>
    </row>
    <row r="13" spans="2:84" x14ac:dyDescent="0.25">
      <c r="B13" s="44" t="s">
        <v>15</v>
      </c>
      <c r="C13" s="9" t="s">
        <v>10</v>
      </c>
      <c r="D13" s="7">
        <v>0</v>
      </c>
      <c r="E13" s="8">
        <v>46132</v>
      </c>
      <c r="F13" s="36">
        <v>46135</v>
      </c>
      <c r="G13" s="46"/>
      <c r="H13" s="4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28"/>
    </row>
    <row r="14" spans="2:84" x14ac:dyDescent="0.25">
      <c r="B14" s="44" t="s">
        <v>16</v>
      </c>
      <c r="C14" s="9" t="s">
        <v>10</v>
      </c>
      <c r="D14" s="7">
        <v>0</v>
      </c>
      <c r="E14" s="8">
        <v>46132</v>
      </c>
      <c r="F14" s="36">
        <v>46135</v>
      </c>
      <c r="G14" s="46"/>
      <c r="H14" s="4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28"/>
    </row>
    <row r="15" spans="2:84" x14ac:dyDescent="0.25">
      <c r="B15" s="44" t="s">
        <v>17</v>
      </c>
      <c r="C15" s="9" t="s">
        <v>10</v>
      </c>
      <c r="D15" s="7">
        <v>0</v>
      </c>
      <c r="E15" s="8">
        <v>46132</v>
      </c>
      <c r="F15" s="36">
        <v>46135</v>
      </c>
      <c r="G15" s="46"/>
      <c r="H15" s="4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28"/>
    </row>
    <row r="16" spans="2:84" x14ac:dyDescent="0.25">
      <c r="B16" s="48" t="s">
        <v>18</v>
      </c>
      <c r="C16" s="10"/>
      <c r="D16" s="11">
        <f>SUM(D17:D23)/7</f>
        <v>0</v>
      </c>
      <c r="E16" s="12">
        <v>46135</v>
      </c>
      <c r="F16" s="35">
        <v>46156</v>
      </c>
      <c r="G16" s="46"/>
      <c r="H16" s="44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28"/>
    </row>
    <row r="17" spans="2:84" x14ac:dyDescent="0.25">
      <c r="B17" s="44" t="s">
        <v>19</v>
      </c>
      <c r="C17" s="9" t="s">
        <v>5</v>
      </c>
      <c r="D17" s="7">
        <v>0</v>
      </c>
      <c r="E17" s="8">
        <v>46135</v>
      </c>
      <c r="F17" s="36">
        <v>46142</v>
      </c>
      <c r="G17" s="46"/>
      <c r="H17" s="44"/>
      <c r="I17" s="6"/>
      <c r="J17" s="6"/>
      <c r="K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28"/>
    </row>
    <row r="18" spans="2:84" x14ac:dyDescent="0.25">
      <c r="B18" s="44" t="s">
        <v>20</v>
      </c>
      <c r="C18" s="9" t="s">
        <v>5</v>
      </c>
      <c r="D18" s="7">
        <v>0</v>
      </c>
      <c r="E18" s="8">
        <v>46135</v>
      </c>
      <c r="F18" s="36">
        <v>46142</v>
      </c>
      <c r="G18" s="46"/>
      <c r="H18" s="4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28"/>
    </row>
    <row r="19" spans="2:84" x14ac:dyDescent="0.25">
      <c r="B19" s="44" t="s">
        <v>21</v>
      </c>
      <c r="C19" s="9" t="s">
        <v>5</v>
      </c>
      <c r="D19" s="7">
        <v>0</v>
      </c>
      <c r="E19" s="8">
        <v>46142</v>
      </c>
      <c r="F19" s="36">
        <v>46149</v>
      </c>
      <c r="G19" s="46"/>
      <c r="H19" s="4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28"/>
    </row>
    <row r="20" spans="2:84" x14ac:dyDescent="0.25">
      <c r="B20" s="44" t="s">
        <v>22</v>
      </c>
      <c r="C20" s="9" t="s">
        <v>5</v>
      </c>
      <c r="D20" s="7">
        <v>0</v>
      </c>
      <c r="E20" s="8">
        <v>46142</v>
      </c>
      <c r="F20" s="36">
        <v>46149</v>
      </c>
      <c r="G20" s="46"/>
      <c r="H20" s="4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28"/>
    </row>
    <row r="21" spans="2:84" x14ac:dyDescent="0.25">
      <c r="B21" s="44" t="s">
        <v>23</v>
      </c>
      <c r="C21" s="9" t="s">
        <v>5</v>
      </c>
      <c r="D21" s="7">
        <v>0</v>
      </c>
      <c r="E21" s="13">
        <v>46149</v>
      </c>
      <c r="F21" s="37">
        <v>46156</v>
      </c>
      <c r="G21" s="46"/>
      <c r="H21" s="4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28"/>
    </row>
    <row r="22" spans="2:84" x14ac:dyDescent="0.25">
      <c r="B22" s="44" t="s">
        <v>24</v>
      </c>
      <c r="C22" s="9" t="s">
        <v>5</v>
      </c>
      <c r="D22" s="7">
        <v>0</v>
      </c>
      <c r="E22" s="13">
        <v>46149</v>
      </c>
      <c r="F22" s="37">
        <v>46156</v>
      </c>
      <c r="G22" s="46"/>
      <c r="H22" s="4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28"/>
    </row>
    <row r="23" spans="2:84" x14ac:dyDescent="0.25">
      <c r="B23" s="44" t="s">
        <v>25</v>
      </c>
      <c r="C23" s="9" t="s">
        <v>5</v>
      </c>
      <c r="D23" s="7">
        <v>0</v>
      </c>
      <c r="E23" s="13">
        <v>46149</v>
      </c>
      <c r="F23" s="37">
        <v>46156</v>
      </c>
      <c r="G23" s="46"/>
      <c r="H23" s="44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28"/>
    </row>
    <row r="24" spans="2:84" x14ac:dyDescent="0.25">
      <c r="B24" s="48" t="s">
        <v>26</v>
      </c>
      <c r="C24" s="10"/>
      <c r="D24" s="11">
        <f>SUM(D25:D29)/5</f>
        <v>0</v>
      </c>
      <c r="E24" s="12">
        <v>46156</v>
      </c>
      <c r="F24" s="35">
        <v>46177</v>
      </c>
      <c r="G24" s="46"/>
      <c r="H24" s="4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28"/>
    </row>
    <row r="25" spans="2:84" x14ac:dyDescent="0.25">
      <c r="B25" s="44" t="s">
        <v>27</v>
      </c>
      <c r="C25" s="9" t="s">
        <v>5</v>
      </c>
      <c r="D25" s="7">
        <v>0</v>
      </c>
      <c r="E25" s="8">
        <v>46156</v>
      </c>
      <c r="F25" s="36">
        <v>46163</v>
      </c>
      <c r="G25" s="46"/>
      <c r="H25" s="44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28"/>
    </row>
    <row r="26" spans="2:84" x14ac:dyDescent="0.25">
      <c r="B26" s="44" t="s">
        <v>28</v>
      </c>
      <c r="C26" s="9" t="s">
        <v>5</v>
      </c>
      <c r="D26" s="7">
        <v>0</v>
      </c>
      <c r="E26" s="8">
        <v>46163</v>
      </c>
      <c r="F26" s="36">
        <v>46170</v>
      </c>
      <c r="G26" s="46"/>
      <c r="H26" s="4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28"/>
    </row>
    <row r="27" spans="2:84" x14ac:dyDescent="0.25">
      <c r="B27" s="44" t="s">
        <v>29</v>
      </c>
      <c r="C27" s="9" t="s">
        <v>5</v>
      </c>
      <c r="D27" s="7">
        <v>0</v>
      </c>
      <c r="E27" s="8">
        <v>46170</v>
      </c>
      <c r="F27" s="36">
        <v>46177</v>
      </c>
      <c r="G27" s="46"/>
      <c r="H27" s="44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28"/>
    </row>
    <row r="28" spans="2:84" x14ac:dyDescent="0.25">
      <c r="B28" s="44" t="s">
        <v>30</v>
      </c>
      <c r="C28" s="9" t="s">
        <v>5</v>
      </c>
      <c r="D28" s="7">
        <v>0</v>
      </c>
      <c r="E28" s="8">
        <v>46170</v>
      </c>
      <c r="F28" s="36">
        <v>46177</v>
      </c>
      <c r="G28" s="46"/>
      <c r="H28" s="4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28"/>
    </row>
    <row r="29" spans="2:84" x14ac:dyDescent="0.25">
      <c r="B29" s="44" t="s">
        <v>31</v>
      </c>
      <c r="C29" s="9" t="s">
        <v>5</v>
      </c>
      <c r="D29" s="7">
        <v>0</v>
      </c>
      <c r="E29" s="8">
        <v>46170</v>
      </c>
      <c r="F29" s="36">
        <v>46177</v>
      </c>
      <c r="G29" s="46"/>
      <c r="H29" s="44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28"/>
    </row>
    <row r="30" spans="2:84" x14ac:dyDescent="0.25">
      <c r="B30" s="48" t="s">
        <v>32</v>
      </c>
      <c r="C30" s="10"/>
      <c r="D30" s="11">
        <f>SUM(D31:D36)/6</f>
        <v>0</v>
      </c>
      <c r="E30" s="12">
        <v>46177</v>
      </c>
      <c r="F30" s="35">
        <v>46184</v>
      </c>
      <c r="G30" s="46"/>
      <c r="H30" s="44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28"/>
    </row>
    <row r="31" spans="2:84" x14ac:dyDescent="0.25">
      <c r="B31" s="44" t="s">
        <v>33</v>
      </c>
      <c r="C31" s="9"/>
      <c r="D31" s="7">
        <v>0</v>
      </c>
      <c r="E31" s="14">
        <v>46177</v>
      </c>
      <c r="F31" s="38">
        <v>46184</v>
      </c>
      <c r="G31" s="46"/>
      <c r="H31" s="44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28"/>
    </row>
    <row r="32" spans="2:84" x14ac:dyDescent="0.25">
      <c r="B32" s="44" t="s">
        <v>34</v>
      </c>
      <c r="C32" s="9"/>
      <c r="D32" s="7">
        <v>0</v>
      </c>
      <c r="E32" s="14">
        <v>46177</v>
      </c>
      <c r="F32" s="38">
        <v>46184</v>
      </c>
      <c r="G32" s="46"/>
      <c r="H32" s="44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28"/>
    </row>
    <row r="33" spans="2:84" x14ac:dyDescent="0.25">
      <c r="B33" s="44" t="s">
        <v>35</v>
      </c>
      <c r="C33" s="9"/>
      <c r="D33" s="7">
        <v>0</v>
      </c>
      <c r="E33" s="14">
        <v>46177</v>
      </c>
      <c r="F33" s="38">
        <v>46184</v>
      </c>
      <c r="G33" s="46"/>
      <c r="H33" s="44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28"/>
    </row>
    <row r="34" spans="2:84" x14ac:dyDescent="0.25">
      <c r="B34" s="44" t="s">
        <v>36</v>
      </c>
      <c r="C34" s="9"/>
      <c r="D34" s="7">
        <v>0</v>
      </c>
      <c r="E34" s="14">
        <v>46184</v>
      </c>
      <c r="F34" s="38">
        <v>46191</v>
      </c>
      <c r="G34" s="46"/>
      <c r="H34" s="44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28"/>
    </row>
    <row r="35" spans="2:84" x14ac:dyDescent="0.25">
      <c r="B35" s="44" t="s">
        <v>37</v>
      </c>
      <c r="C35" s="9"/>
      <c r="D35" s="7">
        <v>0</v>
      </c>
      <c r="E35" s="14">
        <v>46184</v>
      </c>
      <c r="F35" s="38">
        <v>46191</v>
      </c>
      <c r="G35" s="46"/>
      <c r="H35" s="44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28"/>
    </row>
    <row r="36" spans="2:84" x14ac:dyDescent="0.25">
      <c r="B36" s="44" t="s">
        <v>38</v>
      </c>
      <c r="C36" s="9"/>
      <c r="D36" s="7">
        <v>0</v>
      </c>
      <c r="E36" s="14">
        <v>46184</v>
      </c>
      <c r="F36" s="38">
        <v>46191</v>
      </c>
      <c r="G36" s="46"/>
      <c r="H36" s="44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28"/>
    </row>
    <row r="37" spans="2:84" x14ac:dyDescent="0.25">
      <c r="B37" s="48" t="s">
        <v>39</v>
      </c>
      <c r="C37" s="10"/>
      <c r="D37" s="11">
        <f>SUM(D38:D39)/2</f>
        <v>0</v>
      </c>
      <c r="E37" s="12">
        <v>46191</v>
      </c>
      <c r="F37" s="35">
        <v>46198</v>
      </c>
      <c r="G37" s="46"/>
      <c r="H37" s="44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28"/>
    </row>
    <row r="38" spans="2:84" x14ac:dyDescent="0.25">
      <c r="B38" s="44" t="s">
        <v>41</v>
      </c>
      <c r="C38" s="9"/>
      <c r="D38" s="7">
        <v>0</v>
      </c>
      <c r="E38" s="14">
        <v>46191</v>
      </c>
      <c r="F38" s="38">
        <v>46198</v>
      </c>
      <c r="G38" s="46"/>
      <c r="H38" s="44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28"/>
    </row>
    <row r="39" spans="2:84" x14ac:dyDescent="0.25">
      <c r="B39" s="44" t="s">
        <v>40</v>
      </c>
      <c r="C39" s="9"/>
      <c r="D39" s="7">
        <v>0</v>
      </c>
      <c r="E39" s="14">
        <v>46191</v>
      </c>
      <c r="F39" s="38">
        <v>46198</v>
      </c>
      <c r="G39" s="46"/>
      <c r="H39" s="44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28"/>
    </row>
    <row r="40" spans="2:84" x14ac:dyDescent="0.25">
      <c r="B40" s="45"/>
      <c r="C40" s="29"/>
      <c r="D40" s="30"/>
      <c r="E40" s="29"/>
      <c r="F40" s="31"/>
      <c r="G40" s="46"/>
      <c r="H40" s="45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31"/>
    </row>
  </sheetData>
  <mergeCells count="14">
    <mergeCell ref="E5:F5"/>
    <mergeCell ref="C5:D5"/>
    <mergeCell ref="H4:N4"/>
    <mergeCell ref="O4:U4"/>
    <mergeCell ref="V4:AB4"/>
    <mergeCell ref="BZ4:CF4"/>
    <mergeCell ref="B2:F2"/>
    <mergeCell ref="AJ4:AP4"/>
    <mergeCell ref="AQ4:AW4"/>
    <mergeCell ref="AX4:BD4"/>
    <mergeCell ref="BE4:BK4"/>
    <mergeCell ref="BL4:BR4"/>
    <mergeCell ref="BS4:BY4"/>
    <mergeCell ref="AC4:AI4"/>
  </mergeCells>
  <conditionalFormatting sqref="D40">
    <cfRule type="dataBar" priority="1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{4693AAE6-A968-4577-8259-B5517147BD0B}</x14:id>
        </ext>
      </extLst>
    </cfRule>
  </conditionalFormatting>
  <conditionalFormatting sqref="H17:K17 H7:CF16 H18:CF40 M17:CF17">
    <cfRule type="expression" dxfId="4" priority="10">
      <formula>AND(H$5&gt;=$E7, H$5&lt;=((($F7-$E7+1)*$D7)+$E7-1))</formula>
    </cfRule>
    <cfRule type="expression" dxfId="3" priority="11">
      <formula>AND(H$5&gt;=$E7, H$5&lt;=$F7)</formula>
    </cfRule>
  </conditionalFormatting>
  <conditionalFormatting sqref="H3">
    <cfRule type="expression" dxfId="2" priority="17">
      <formula>AND(L$5&gt;=$E17, L$5&lt;=((($F17-$E17+1)*$D17)+$E17-1))</formula>
    </cfRule>
    <cfRule type="expression" dxfId="1" priority="18">
      <formula>AND(L$5&gt;=$E17, L$5&lt;=$F17)</formula>
    </cfRule>
  </conditionalFormatting>
  <conditionalFormatting sqref="H7:CF40">
    <cfRule type="expression" dxfId="0" priority="9">
      <formula>H$5=TODAY()</formula>
    </cfRule>
  </conditionalFormatting>
  <conditionalFormatting sqref="D7:D11 D31:D36 D24:D29">
    <cfRule type="dataBar" priority="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{195AB4B8-1354-4D48-B390-689803F9EA97}</x14:id>
        </ext>
      </extLst>
    </cfRule>
  </conditionalFormatting>
  <conditionalFormatting sqref="D16:D20">
    <cfRule type="dataBar" priority="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{476872CB-41B9-45B5-98C7-56FAECEB8CFF}</x14:id>
        </ext>
      </extLst>
    </cfRule>
  </conditionalFormatting>
  <conditionalFormatting sqref="D12:D14">
    <cfRule type="dataBar" priority="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{CDCBC34F-837A-4DB0-96DB-58080B940EB3}</x14:id>
        </ext>
      </extLst>
    </cfRule>
  </conditionalFormatting>
  <conditionalFormatting sqref="D15">
    <cfRule type="dataBar" priority="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{744AE6C3-5BD7-44DF-928F-636D2F260202}</x14:id>
        </ext>
      </extLst>
    </cfRule>
  </conditionalFormatting>
  <conditionalFormatting sqref="D21:D23">
    <cfRule type="dataBar" priority="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{AA7D227D-CF25-45FD-8854-193CB649A9D8}</x14:id>
        </ext>
      </extLst>
    </cfRule>
  </conditionalFormatting>
  <conditionalFormatting sqref="D30">
    <cfRule type="dataBar" priority="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{B202A320-8915-4706-9427-48C037FB0208}</x14:id>
        </ext>
      </extLst>
    </cfRule>
  </conditionalFormatting>
  <conditionalFormatting sqref="D37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{53D00B96-155C-45D2-9A8A-0FE3A2E085FF}</x14:id>
        </ext>
      </extLst>
    </cfRule>
  </conditionalFormatting>
  <conditionalFormatting sqref="D38:D39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{DE5E10DB-F79B-4162-A1C1-C82B6C247812}</x14:id>
        </ext>
      </extLst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defaultSize="0" autoPict="0">
                <anchor moveWithCells="1">
                  <from>
                    <xdr:col>2</xdr:col>
                    <xdr:colOff>0</xdr:colOff>
                    <xdr:row>2</xdr:row>
                    <xdr:rowOff>171450</xdr:rowOff>
                  </from>
                  <to>
                    <xdr:col>6</xdr:col>
                    <xdr:colOff>0</xdr:colOff>
                    <xdr:row>3</xdr:row>
                    <xdr:rowOff>219075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93AAE6-A968-4577-8259-B5517147BD0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D40</xm:sqref>
        </x14:conditionalFormatting>
        <x14:conditionalFormatting xmlns:xm="http://schemas.microsoft.com/office/excel/2006/main">
          <x14:cfRule type="dataBar" id="{195AB4B8-1354-4D48-B390-689803F9EA9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D7:D11 D31:D36 D24:D29</xm:sqref>
        </x14:conditionalFormatting>
        <x14:conditionalFormatting xmlns:xm="http://schemas.microsoft.com/office/excel/2006/main">
          <x14:cfRule type="dataBar" id="{476872CB-41B9-45B5-98C7-56FAECEB8CF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D16:D20</xm:sqref>
        </x14:conditionalFormatting>
        <x14:conditionalFormatting xmlns:xm="http://schemas.microsoft.com/office/excel/2006/main">
          <x14:cfRule type="dataBar" id="{CDCBC34F-837A-4DB0-96DB-58080B940EB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D12:D14</xm:sqref>
        </x14:conditionalFormatting>
        <x14:conditionalFormatting xmlns:xm="http://schemas.microsoft.com/office/excel/2006/main">
          <x14:cfRule type="dataBar" id="{744AE6C3-5BD7-44DF-928F-636D2F260202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D15</xm:sqref>
        </x14:conditionalFormatting>
        <x14:conditionalFormatting xmlns:xm="http://schemas.microsoft.com/office/excel/2006/main">
          <x14:cfRule type="dataBar" id="{AA7D227D-CF25-45FD-8854-193CB649A9D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D21:D23</xm:sqref>
        </x14:conditionalFormatting>
        <x14:conditionalFormatting xmlns:xm="http://schemas.microsoft.com/office/excel/2006/main">
          <x14:cfRule type="dataBar" id="{B202A320-8915-4706-9427-48C037FB020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D30</xm:sqref>
        </x14:conditionalFormatting>
        <x14:conditionalFormatting xmlns:xm="http://schemas.microsoft.com/office/excel/2006/main">
          <x14:cfRule type="dataBar" id="{53D00B96-155C-45D2-9A8A-0FE3A2E085F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D37</xm:sqref>
        </x14:conditionalFormatting>
        <x14:conditionalFormatting xmlns:xm="http://schemas.microsoft.com/office/excel/2006/main">
          <x14:cfRule type="dataBar" id="{DE5E10DB-F79B-4162-A1C1-C82B6C247812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D38:D39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venieri</dc:creator>
  <cp:lastModifiedBy>gabriel venieri</cp:lastModifiedBy>
  <dcterms:created xsi:type="dcterms:W3CDTF">2026-04-12T01:05:52Z</dcterms:created>
  <dcterms:modified xsi:type="dcterms:W3CDTF">2026-04-17T03:26:00Z</dcterms:modified>
</cp:coreProperties>
</file>